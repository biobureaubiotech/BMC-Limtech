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ISIPlanilha"/>
  <mc:AlternateContent xmlns:mc="http://schemas.openxmlformats.org/markup-compatibility/2006">
    <mc:Choice Requires="x15">
      <x15ac:absPath xmlns:x15ac="http://schemas.microsoft.com/office/spreadsheetml/2010/11/ac" url="Y:\Projetos\Bio-Bureau Eng. de Processo\Execução\Docs para entrega\"/>
    </mc:Choice>
  </mc:AlternateContent>
  <workbookProtection workbookAlgorithmName="SHA-512" workbookHashValue="dcc3Y9EuAAB0iAEl+wvHBq1krhZw2wDlLHxgpc1W2NtcNpnbap/UdTU6+d4/plnHa8tO9zeuqyLwRJf4hXSUnQ==" workbookSaltValue="PO8T6XTzsCez2BloJIdnLQ==" workbookSpinCount="100000" lockStructure="1"/>
  <bookViews>
    <workbookView xWindow="0" yWindow="0" windowWidth="19200" windowHeight="11595" tabRatio="859"/>
  </bookViews>
  <sheets>
    <sheet name="Macro" sheetId="6" r:id="rId1"/>
    <sheet name="Help" sheetId="7" state="veryHidden" r:id="rId2"/>
    <sheet name="Cost Analysis" sheetId="1" state="veryHidden" r:id="rId3"/>
    <sheet name="Base" sheetId="8" state="veryHidden" r:id="rId4"/>
  </sheets>
  <definedNames>
    <definedName name="_xlnm.Print_Area" localSheetId="2">'Cost Analysis'!$A$1:$AA$164</definedName>
    <definedName name="Base_Additional_Capital_Cost">Base!$I$120</definedName>
    <definedName name="Base_Annual_Cost_Per_Operator">Base!$P$94</definedName>
    <definedName name="Base_Annual_Cost_Per_Supervisor">Base!$P$96</definedName>
    <definedName name="Base_CAPEX_Lower_Bound">Base!$O$157</definedName>
    <definedName name="Base_CAPEX_Upper_Bound">Base!$O$159</definedName>
    <definedName name="Base_Cost_Index_In_Project_Year">Base!$I$91</definedName>
    <definedName name="Base_Credit1">Base!$I$61</definedName>
    <definedName name="Base_Credit2">Base!$I$62</definedName>
    <definedName name="Base_Credit3">Base!$I$63</definedName>
    <definedName name="Base_Credit4">Base!$I$64</definedName>
    <definedName name="Base_Credit5">Base!$I$65</definedName>
    <definedName name="Base_Credit6">Base!$I$66</definedName>
    <definedName name="Base_Credit7">Base!$I$67</definedName>
    <definedName name="Base_Depreciation">Base!$P$110</definedName>
    <definedName name="Base_Desired_Capacity">Base!$I$13</definedName>
    <definedName name="Base_Expansion_Coefficient">Base!$I$95</definedName>
    <definedName name="Base_GA_Sales_RD">Base!$P$116</definedName>
    <definedName name="Base_Internal_Return_Rate">Base!$I$17</definedName>
    <definedName name="Base_ISBL_Contribution">Base!$I$113</definedName>
    <definedName name="Base_Laboratory_Labor">Base!$P$98</definedName>
    <definedName name="Base_Location_Factor">Base!$I$97</definedName>
    <definedName name="Base_Maintenance_Labor">Base!$P$99</definedName>
    <definedName name="Base_Maintenance_Supplies">Base!$P$104</definedName>
    <definedName name="Base_Operating_Supplies">Base!$P$103</definedName>
    <definedName name="Base_Operators_Per_Shift">Base!$P$93</definedName>
    <definedName name="Base_Overhead">Base!$P$108</definedName>
    <definedName name="Base_Project_Lifetime">Base!$I$19</definedName>
    <definedName name="Base_Raw1">Base!$I$33</definedName>
    <definedName name="Base_Raw2">Base!$I$34</definedName>
    <definedName name="Base_Raw3">Base!$I$35</definedName>
    <definedName name="Base_Raw4">Base!$I$36</definedName>
    <definedName name="Base_Raw5">Base!$I$37</definedName>
    <definedName name="Base_Raw6">Base!$I$38</definedName>
    <definedName name="Base_Raw7">Base!$I$39</definedName>
    <definedName name="Base_Reduction_Coefficient">Base!$I$93</definedName>
    <definedName name="Base_Reference_Capacity">Base!$I$85</definedName>
    <definedName name="Base_Reference_CAPEX">Base!$I$87</definedName>
    <definedName name="Base_Reference_Cost_Index">Base!$I$89</definedName>
    <definedName name="Base_Shifts">Base!$P$97</definedName>
    <definedName name="Base_Supervisors_Per_Shift">Base!$P$95</definedName>
    <definedName name="Base_Taxes_And_Insurance">Base!$P$109</definedName>
    <definedName name="Base_Utility1">Base!$I$47</definedName>
    <definedName name="Base_Utility2">Base!$I$48</definedName>
    <definedName name="Base_Utility3">Base!$I$49</definedName>
    <definedName name="Base_Utility4">Base!$I$50</definedName>
    <definedName name="Base_Utility5">Base!$I$51</definedName>
    <definedName name="Base_Utility6">Base!$I$52</definedName>
    <definedName name="Base_Utility7">Base!$I$53</definedName>
    <definedName name="Base_Working_Hours_Per_Year">Base!$I$15</definedName>
    <definedName name="Cost_Additional_Capital_Cost">'Cost Analysis'!$I$120</definedName>
    <definedName name="Cost_Annual_Cost_Per_Operator">'Cost Analysis'!$P$94</definedName>
    <definedName name="Cost_Annual_Cost_Per_Supervisor">'Cost Analysis'!$P$96</definedName>
    <definedName name="Cost_CAPEX_Lower_Bound">'Cost Analysis'!$O$157</definedName>
    <definedName name="Cost_CAPEX_Upper_Bound">'Cost Analysis'!$O$159</definedName>
    <definedName name="Cost_Cost_Index_In_Project_Year">'Cost Analysis'!$I$91</definedName>
    <definedName name="Cost_Credit1">'Cost Analysis'!$I$61</definedName>
    <definedName name="Cost_Credit2">'Cost Analysis'!$I$62</definedName>
    <definedName name="Cost_Credit3">'Cost Analysis'!$I$63</definedName>
    <definedName name="Cost_Credit4">'Cost Analysis'!$I$64</definedName>
    <definedName name="Cost_Credit5">'Cost Analysis'!$I$65</definedName>
    <definedName name="Cost_Credit6">'Cost Analysis'!$I$66</definedName>
    <definedName name="Cost_Credit7">'Cost Analysis'!$I$67</definedName>
    <definedName name="Cost_Depreciation">'Cost Analysis'!$P$110</definedName>
    <definedName name="Cost_Desired_Capacity">'Cost Analysis'!$I$13</definedName>
    <definedName name="Cost_Expansion_Coefficient">'Cost Analysis'!$I$95</definedName>
    <definedName name="Cost_GA_Sales_RD">'Cost Analysis'!$P$116</definedName>
    <definedName name="Cost_Internal_Return_Rate">'Cost Analysis'!$I$17</definedName>
    <definedName name="Cost_ISBL_Contribution">'Cost Analysis'!$I$113</definedName>
    <definedName name="Cost_Laboratory_Labor">'Cost Analysis'!$P$98</definedName>
    <definedName name="Cost_Location_Factor">'Cost Analysis'!$I$97</definedName>
    <definedName name="Cost_Maintenance_Labor">'Cost Analysis'!$P$99</definedName>
    <definedName name="Cost_Maintenance_Supplies">'Cost Analysis'!$P$104</definedName>
    <definedName name="Cost_Operating_Supplies">'Cost Analysis'!$P$103</definedName>
    <definedName name="Cost_Operators_Per_Shift">'Cost Analysis'!$P$93</definedName>
    <definedName name="Cost_Overhead">'Cost Analysis'!$P$108</definedName>
    <definedName name="Cost_Project_Lifetime">'Cost Analysis'!$I$19</definedName>
    <definedName name="Cost_Raw1">'Cost Analysis'!$I$33</definedName>
    <definedName name="Cost_Raw2">'Cost Analysis'!$I$34</definedName>
    <definedName name="Cost_Raw3">'Cost Analysis'!$I$35</definedName>
    <definedName name="Cost_Raw4">'Cost Analysis'!$I$36</definedName>
    <definedName name="Cost_Raw5">'Cost Analysis'!$I$37</definedName>
    <definedName name="Cost_Raw6">'Cost Analysis'!$I$38</definedName>
    <definedName name="Cost_Raw7">'Cost Analysis'!$I$39</definedName>
    <definedName name="Cost_Reduction_Coefficient">'Cost Analysis'!$I$93</definedName>
    <definedName name="Cost_Reference_Capacity">'Cost Analysis'!$I$85</definedName>
    <definedName name="Cost_Reference_CAPEX">'Cost Analysis'!$I$87</definedName>
    <definedName name="Cost_Reference_Cost_Index">'Cost Analysis'!$I$89</definedName>
    <definedName name="Cost_Shifts">'Cost Analysis'!$P$97</definedName>
    <definedName name="Cost_Supervisors_Per_Shift">'Cost Analysis'!$P$95</definedName>
    <definedName name="Cost_Taxes_And_Insurance">'Cost Analysis'!$P$109</definedName>
    <definedName name="Cost_Utility1">'Cost Analysis'!$I$47</definedName>
    <definedName name="Cost_Utility2">'Cost Analysis'!$I$48</definedName>
    <definedName name="Cost_Utility3">'Cost Analysis'!$I$49</definedName>
    <definedName name="Cost_Utility4">'Cost Analysis'!$I$50</definedName>
    <definedName name="Cost_Utility5">'Cost Analysis'!$I$51</definedName>
    <definedName name="Cost_Utility6">'Cost Analysis'!$I$52</definedName>
    <definedName name="Cost_Utility7">'Cost Analysis'!$I$53</definedName>
    <definedName name="Cost_Working_Hours_Per_Year">'Cost Analysis'!$I$15</definedName>
    <definedName name="ISIInput">Base!$H$10,Base!$F$33,Base!$F$34,Base!$F$35,Base!$F$36,Base!$F$37,Base!$F$38,Base!$F$39,Base!$I$33,Base!$I$34,Base!$I$35,Base!$I$36,Base!$I$37,Base!$I$38,Base!$I$39,Base!$O$33,Base!$O$34,Base!$O$35,Base!$O$36,Base!$O$37,Base!$O$38,Base!$O$39,Base!$P$33,Base!$P$34,Base!$P$35,Base!$P$36,Base!$P$37,Base!$P$38,Base!$P$39,Base!$F$47,Base!$F$48,Base!$F$49,Base!$F$50,Base!$F$51,Base!$F$52,Base!$F$53,Base!$I$47,Base!$I$48,Base!$I$49,Base!$I$50,Base!$I$51,Base!$I$52,Base!$I$53,Base!$O$47,Base!$O$48,Base!$O$49,Base!$O$50,Base!$O$51,Base!$O$52,Base!$O$53,Base!$P$47,Base!$P$48,Base!$P$49,Base!$P$50,Base!$P$51,Base!$P$52,Base!$P$53,Base!$F$61,Base!$F$62,Base!$F$63,Base!$F$64,Base!$F$65,Base!$F$66,Base!$F$67,Base!$I$61,Base!$I$62,Base!$I$63,Base!$I$64,Base!$I$65,Base!$I$66,Base!$I$67,Base!$O$61,Base!$O$62,Base!$O$63,Base!$O$64,Base!$O$65,Base!$O$66,Base!$O$67,Base!$P$61,Base!$P$62,Base!$P$63,Base!$P$64,Base!$P$65,Base!$P$66,Base!$P$67,Base!$I$85,Base!$I$87,Base!$I$113</definedName>
    <definedName name="UserInput">'Cost Analysis'!$I$13,'Cost Analysis'!$I$15,'Cost Analysis'!$I$17,'Cost Analysis'!$I$19,'Cost Analysis'!$I$33,'Cost Analysis'!$I$34,'Cost Analysis'!$I$35,'Cost Analysis'!$I$36,'Cost Analysis'!$I$37,'Cost Analysis'!$I$38,'Cost Analysis'!$I$39,'Cost Analysis'!$I$47,'Cost Analysis'!$I$48,'Cost Analysis'!$I$49,'Cost Analysis'!$I$50,'Cost Analysis'!$I$51,'Cost Analysis'!$I$52,'Cost Analysis'!$I$53,'Cost Analysis'!$I$61,'Cost Analysis'!$I$62,'Cost Analysis'!$I$63,'Cost Analysis'!$I$64,'Cost Analysis'!$I$65,'Cost Analysis'!$I$66,'Cost Analysis'!$I$67,'Cost Analysis'!$I$85,'Cost Analysis'!$I$87,'Cost Analysis'!$I$89,'Cost Analysis'!$I$91,'Cost Analysis'!$I$93,'Cost Analysis'!$I$95,'Cost Analysis'!$I$97,'Cost Analysis'!$I$113,'Cost Analysis'!$I$120,'Cost Analysis'!$O$157,'Cost Analysis'!$O$159,'Cost Analysis'!$P$93,'Cost Analysis'!$P$94,'Cost Analysis'!$P$95,'Cost Analysis'!$P$96,'Cost Analysis'!$P$97,'Cost Analysis'!$P$98,'Cost Analysis'!$P$99,'Cost Analysis'!$P$103,'Cost Analysis'!$P$104,'Cost Analysis'!$P$108,'Cost Analysis'!$P$109,'Cost Analysis'!$P$110,'Cost Analysis'!$P$116</definedName>
    <definedName name="UserPrice">'Cost Analysis'!$I$33:$I$39,'Cost Analysis'!$I$47:$I$53,'Cost Analysis'!$I$61:$I$67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3" i="8" l="1"/>
  <c r="Q33" i="8" l="1"/>
  <c r="Q35" i="8"/>
  <c r="J62" i="8"/>
  <c r="J63" i="8"/>
  <c r="J64" i="8"/>
  <c r="J65" i="8"/>
  <c r="J66" i="8"/>
  <c r="J67" i="8"/>
  <c r="J61" i="8"/>
  <c r="J48" i="8"/>
  <c r="J49" i="8"/>
  <c r="J50" i="8"/>
  <c r="J51" i="8"/>
  <c r="J52" i="8"/>
  <c r="J53" i="8"/>
  <c r="J47" i="8"/>
  <c r="J34" i="8"/>
  <c r="J35" i="8"/>
  <c r="J36" i="8"/>
  <c r="J37" i="8"/>
  <c r="J38" i="8"/>
  <c r="J39" i="8"/>
  <c r="J33" i="8"/>
  <c r="Q62" i="8"/>
  <c r="Q63" i="8"/>
  <c r="Q64" i="8"/>
  <c r="Q65" i="8"/>
  <c r="Q66" i="8"/>
  <c r="Q67" i="8"/>
  <c r="Q61" i="8"/>
  <c r="M62" i="8"/>
  <c r="M63" i="8"/>
  <c r="M64" i="8"/>
  <c r="M65" i="8"/>
  <c r="M66" i="8"/>
  <c r="M67" i="8"/>
  <c r="M61" i="8"/>
  <c r="M48" i="8"/>
  <c r="M49" i="8"/>
  <c r="M50" i="8"/>
  <c r="M51" i="8"/>
  <c r="M52" i="8"/>
  <c r="M53" i="8"/>
  <c r="M47" i="8"/>
  <c r="Q48" i="8"/>
  <c r="Q49" i="8"/>
  <c r="Q50" i="8"/>
  <c r="Q51" i="8"/>
  <c r="Q52" i="8"/>
  <c r="Q53" i="8"/>
  <c r="Q47" i="8"/>
  <c r="Q34" i="8"/>
  <c r="Q36" i="8"/>
  <c r="Q37" i="8"/>
  <c r="Q38" i="8"/>
  <c r="Q39" i="8"/>
  <c r="M34" i="8"/>
  <c r="M35" i="8"/>
  <c r="M36" i="8"/>
  <c r="M37" i="8"/>
  <c r="M38" i="8"/>
  <c r="M39" i="8"/>
  <c r="M33" i="8"/>
  <c r="I13" i="8" l="1"/>
  <c r="L33" i="8" s="1"/>
  <c r="L63" i="8" l="1"/>
  <c r="L67" i="8"/>
  <c r="L50" i="8"/>
  <c r="L47" i="8"/>
  <c r="L47" i="1" s="1"/>
  <c r="L34" i="8"/>
  <c r="L36" i="8"/>
  <c r="L38" i="8"/>
  <c r="L64" i="8"/>
  <c r="L61" i="8"/>
  <c r="L51" i="8"/>
  <c r="L65" i="8"/>
  <c r="L48" i="8"/>
  <c r="L52" i="8"/>
  <c r="L35" i="8"/>
  <c r="L37" i="8"/>
  <c r="L39" i="8"/>
  <c r="L62" i="8"/>
  <c r="L66" i="8"/>
  <c r="L49" i="8"/>
  <c r="L53" i="8"/>
  <c r="P62" i="1"/>
  <c r="P63" i="1"/>
  <c r="P64" i="1"/>
  <c r="P65" i="1"/>
  <c r="P66" i="1"/>
  <c r="P67" i="1"/>
  <c r="P61" i="1"/>
  <c r="F62" i="1"/>
  <c r="F63" i="1"/>
  <c r="F64" i="1"/>
  <c r="F65" i="1"/>
  <c r="F66" i="1"/>
  <c r="F67" i="1"/>
  <c r="F61" i="1"/>
  <c r="P48" i="1"/>
  <c r="J48" i="1" s="1"/>
  <c r="P49" i="1"/>
  <c r="J49" i="1" s="1"/>
  <c r="P50" i="1"/>
  <c r="J50" i="1" s="1"/>
  <c r="P51" i="1"/>
  <c r="P52" i="1"/>
  <c r="P53" i="1"/>
  <c r="P47" i="1"/>
  <c r="F48" i="1"/>
  <c r="F49" i="1"/>
  <c r="F50" i="1"/>
  <c r="F51" i="1"/>
  <c r="F52" i="1"/>
  <c r="F53" i="1"/>
  <c r="F47" i="1"/>
  <c r="P34" i="1"/>
  <c r="J34" i="1" s="1"/>
  <c r="P35" i="1"/>
  <c r="J35" i="1" s="1"/>
  <c r="P36" i="1"/>
  <c r="P37" i="1"/>
  <c r="P38" i="1"/>
  <c r="P39" i="1"/>
  <c r="F34" i="1"/>
  <c r="F35" i="1"/>
  <c r="F36" i="1"/>
  <c r="F37" i="1"/>
  <c r="F38" i="1"/>
  <c r="F39" i="1"/>
  <c r="J65" i="1" l="1"/>
  <c r="M65" i="1"/>
  <c r="M67" i="1"/>
  <c r="J67" i="1"/>
  <c r="M63" i="1"/>
  <c r="J63" i="1"/>
  <c r="J64" i="1"/>
  <c r="M64" i="1"/>
  <c r="M66" i="1"/>
  <c r="J66" i="1"/>
  <c r="M62" i="1"/>
  <c r="J62" i="1"/>
  <c r="J47" i="1"/>
  <c r="O47" i="1"/>
  <c r="M61" i="1"/>
  <c r="J61" i="1"/>
  <c r="P33" i="1"/>
  <c r="F33" i="1"/>
  <c r="H10" i="1"/>
  <c r="L50" i="1"/>
  <c r="O50" i="1" s="1"/>
  <c r="Q50" i="1" s="1"/>
  <c r="M49" i="1" l="1"/>
  <c r="M50" i="1"/>
  <c r="M34" i="1"/>
  <c r="M47" i="1"/>
  <c r="M35" i="1"/>
  <c r="M48" i="1"/>
  <c r="M33" i="1"/>
  <c r="J33" i="1"/>
  <c r="L33" i="1"/>
  <c r="O33" i="1" s="1"/>
  <c r="Q33" i="1" s="1"/>
  <c r="L36" i="1"/>
  <c r="L53" i="1"/>
  <c r="L49" i="1"/>
  <c r="O49" i="1" s="1"/>
  <c r="Q49" i="1" s="1"/>
  <c r="L39" i="1"/>
  <c r="L35" i="1"/>
  <c r="O35" i="1" s="1"/>
  <c r="Q35" i="1" s="1"/>
  <c r="L52" i="1"/>
  <c r="L48" i="1"/>
  <c r="O48" i="1" s="1"/>
  <c r="Q48" i="1" s="1"/>
  <c r="L38" i="1"/>
  <c r="L34" i="1"/>
  <c r="O34" i="1" s="1"/>
  <c r="Q34" i="1" s="1"/>
  <c r="L51" i="1"/>
  <c r="L37" i="1"/>
  <c r="J158" i="8"/>
  <c r="J156" i="8"/>
  <c r="I135" i="8"/>
  <c r="I132" i="8"/>
  <c r="I129" i="8"/>
  <c r="I104" i="8"/>
  <c r="I107" i="8" s="1"/>
  <c r="I100" i="8"/>
  <c r="S95" i="8"/>
  <c r="S93" i="8"/>
  <c r="S53" i="8"/>
  <c r="S47" i="8"/>
  <c r="S38" i="8"/>
  <c r="S33" i="8"/>
  <c r="J160" i="8"/>
  <c r="S98" i="8" l="1"/>
  <c r="I119" i="8"/>
  <c r="I122" i="8" s="1"/>
  <c r="I140" i="8" s="1"/>
  <c r="I158" i="8" s="1"/>
  <c r="Q159" i="8"/>
  <c r="Q157" i="8"/>
  <c r="S51" i="8"/>
  <c r="S34" i="8"/>
  <c r="S36" i="8"/>
  <c r="S52" i="8"/>
  <c r="S48" i="8"/>
  <c r="S37" i="8"/>
  <c r="S49" i="8"/>
  <c r="O19" i="8"/>
  <c r="N13" i="8"/>
  <c r="S31" i="8"/>
  <c r="Q41" i="8"/>
  <c r="T85" i="8" s="1"/>
  <c r="S99" i="8"/>
  <c r="T105" i="8" s="1"/>
  <c r="S110" i="8"/>
  <c r="S35" i="8"/>
  <c r="S39" i="8"/>
  <c r="S50" i="8"/>
  <c r="S59" i="8"/>
  <c r="S45" i="8"/>
  <c r="S109" i="8"/>
  <c r="I114" i="8"/>
  <c r="I115" i="8" s="1"/>
  <c r="J155" i="8"/>
  <c r="J157" i="8"/>
  <c r="S95" i="1"/>
  <c r="S93" i="1"/>
  <c r="S98" i="1" l="1"/>
  <c r="S55" i="8"/>
  <c r="U47" i="8" s="1"/>
  <c r="Q55" i="8"/>
  <c r="T86" i="8" s="1"/>
  <c r="I155" i="8" s="1"/>
  <c r="S41" i="8"/>
  <c r="U39" i="8" s="1"/>
  <c r="T100" i="8"/>
  <c r="S108" i="8" s="1"/>
  <c r="T111" i="8" s="1"/>
  <c r="U112" i="8" s="1"/>
  <c r="I135" i="1"/>
  <c r="I132" i="1"/>
  <c r="I129" i="1"/>
  <c r="U50" i="8" l="1"/>
  <c r="U51" i="8"/>
  <c r="U53" i="8"/>
  <c r="U49" i="8"/>
  <c r="U48" i="8"/>
  <c r="U52" i="8"/>
  <c r="U35" i="8"/>
  <c r="U33" i="8"/>
  <c r="U36" i="8"/>
  <c r="U37" i="8"/>
  <c r="U34" i="8"/>
  <c r="U38" i="8"/>
  <c r="U55" i="8" l="1"/>
  <c r="U41" i="8"/>
  <c r="S59" i="1" l="1"/>
  <c r="S45" i="1"/>
  <c r="S31" i="1"/>
  <c r="I104" i="1" l="1"/>
  <c r="I107" i="1" s="1"/>
  <c r="Q159" i="1" l="1"/>
  <c r="Q157" i="1"/>
  <c r="S110" i="1"/>
  <c r="S109" i="1"/>
  <c r="S99" i="1"/>
  <c r="I119" i="1"/>
  <c r="I122" i="1" s="1"/>
  <c r="I140" i="1" s="1"/>
  <c r="I158" i="1" s="1"/>
  <c r="I114" i="1"/>
  <c r="I115" i="1" s="1"/>
  <c r="S38" i="1"/>
  <c r="U38" i="1" s="1"/>
  <c r="S34" i="1"/>
  <c r="S53" i="1"/>
  <c r="U53" i="1" s="1"/>
  <c r="S49" i="1"/>
  <c r="Q47" i="1"/>
  <c r="N13" i="1"/>
  <c r="S39" i="1"/>
  <c r="U39" i="1" s="1"/>
  <c r="T105" i="1" l="1"/>
  <c r="T100" i="1"/>
  <c r="S52" i="1"/>
  <c r="U52" i="1" s="1"/>
  <c r="S51" i="1"/>
  <c r="S37" i="1"/>
  <c r="U37" i="1" s="1"/>
  <c r="S50" i="1"/>
  <c r="S35" i="1"/>
  <c r="S48" i="1"/>
  <c r="S36" i="1"/>
  <c r="S33" i="1"/>
  <c r="S47" i="1"/>
  <c r="S108" i="1" l="1"/>
  <c r="T111" i="1" s="1"/>
  <c r="U112" i="1" s="1"/>
  <c r="Q55" i="1"/>
  <c r="T86" i="1" s="1"/>
  <c r="Q41" i="1"/>
  <c r="T85" i="1" s="1"/>
  <c r="S55" i="1"/>
  <c r="S41" i="1"/>
  <c r="U35" i="1" s="1"/>
  <c r="U36" i="1" l="1"/>
  <c r="I155" i="1"/>
  <c r="U47" i="1"/>
  <c r="U51" i="1"/>
  <c r="U48" i="1"/>
  <c r="U50" i="1"/>
  <c r="U49" i="1"/>
  <c r="U34" i="1"/>
  <c r="U33" i="1"/>
  <c r="J160" i="1"/>
  <c r="J156" i="1"/>
  <c r="J157" i="1"/>
  <c r="J158" i="1"/>
  <c r="J155" i="1"/>
  <c r="I100" i="1"/>
  <c r="O19" i="1"/>
  <c r="U55" i="1" l="1"/>
  <c r="U41" i="1"/>
  <c r="L67" i="1" l="1"/>
  <c r="O67" i="1" s="1"/>
  <c r="Q67" i="1" s="1"/>
  <c r="L66" i="1"/>
  <c r="O66" i="1" s="1"/>
  <c r="Q66" i="1" s="1"/>
  <c r="L65" i="1"/>
  <c r="O65" i="1" s="1"/>
  <c r="Q65" i="1" s="1"/>
  <c r="L63" i="1"/>
  <c r="O63" i="1" s="1"/>
  <c r="Q63" i="1" s="1"/>
  <c r="S63" i="8" l="1"/>
  <c r="S65" i="8"/>
  <c r="S67" i="8"/>
  <c r="S65" i="1"/>
  <c r="U65" i="1" s="1"/>
  <c r="S67" i="1"/>
  <c r="U67" i="1" s="1"/>
  <c r="S63" i="1"/>
  <c r="U63" i="1" s="1"/>
  <c r="S66" i="8"/>
  <c r="S62" i="8"/>
  <c r="L62" i="1"/>
  <c r="O62" i="1" s="1"/>
  <c r="Q62" i="1" s="1"/>
  <c r="S61" i="8"/>
  <c r="L61" i="1"/>
  <c r="O61" i="1" s="1"/>
  <c r="Q61" i="1" s="1"/>
  <c r="S64" i="8"/>
  <c r="L64" i="1"/>
  <c r="O64" i="1" s="1"/>
  <c r="Q64" i="1" s="1"/>
  <c r="S66" i="1"/>
  <c r="U66" i="1" s="1"/>
  <c r="Q69" i="8"/>
  <c r="T87" i="8" s="1"/>
  <c r="I156" i="8" s="1"/>
  <c r="S69" i="8" l="1"/>
  <c r="U64" i="8" s="1"/>
  <c r="S61" i="1"/>
  <c r="S64" i="1"/>
  <c r="U64" i="1" s="1"/>
  <c r="S62" i="1"/>
  <c r="U62" i="1" s="1"/>
  <c r="U88" i="8"/>
  <c r="U67" i="8" l="1"/>
  <c r="T116" i="8"/>
  <c r="U117" i="8" s="1"/>
  <c r="I157" i="8" s="1"/>
  <c r="I160" i="8" s="1"/>
  <c r="N19" i="8" s="1"/>
  <c r="R157" i="8"/>
  <c r="T159" i="8"/>
  <c r="T157" i="8"/>
  <c r="R159" i="8"/>
  <c r="U66" i="8"/>
  <c r="U62" i="8"/>
  <c r="U65" i="8"/>
  <c r="U61" i="8"/>
  <c r="U63" i="8"/>
  <c r="Q69" i="1"/>
  <c r="T87" i="1" s="1"/>
  <c r="S69" i="1"/>
  <c r="U61" i="1" s="1"/>
  <c r="U69" i="1" s="1"/>
  <c r="Q126" i="8" l="1"/>
  <c r="N16" i="8" s="1"/>
  <c r="U159" i="8"/>
  <c r="U157" i="8"/>
  <c r="U69" i="8"/>
  <c r="U88" i="1"/>
  <c r="I156" i="1"/>
  <c r="T159" i="1" l="1"/>
  <c r="T157" i="1"/>
  <c r="T116" i="1"/>
  <c r="U117" i="1" s="1"/>
  <c r="I157" i="1" s="1"/>
  <c r="I160" i="1" s="1"/>
  <c r="N19" i="1" s="1"/>
  <c r="R157" i="1"/>
  <c r="R159" i="1"/>
  <c r="U157" i="1" l="1"/>
  <c r="Q126" i="1"/>
  <c r="N16" i="1" s="1"/>
  <c r="U159" i="1"/>
</calcChain>
</file>

<file path=xl/comments1.xml><?xml version="1.0" encoding="utf-8"?>
<comments xmlns="http://schemas.openxmlformats.org/spreadsheetml/2006/main">
  <authors>
    <author>Tork</author>
    <author>Ariel Berti</author>
  </authors>
  <commentList>
    <comment ref="I100" authorId="0" shapeId="0">
      <text>
        <r>
          <rPr>
            <b/>
            <sz val="9"/>
            <color indexed="81"/>
            <rFont val="Tahoma"/>
            <family val="2"/>
          </rPr>
          <t>For reference only, change on the top of the spreadsheet.</t>
        </r>
      </text>
    </comment>
    <comment ref="I129" authorId="1" shapeId="0">
      <text>
        <r>
          <rPr>
            <b/>
            <sz val="9"/>
            <color indexed="81"/>
            <rFont val="Segoe UI"/>
            <family val="2"/>
          </rPr>
          <t>For reference only, change on the top of the spreadsheet.</t>
        </r>
      </text>
    </comment>
    <comment ref="I132" authorId="1" shapeId="0">
      <text>
        <r>
          <rPr>
            <b/>
            <sz val="9"/>
            <color indexed="81"/>
            <rFont val="Segoe UI"/>
            <family val="2"/>
          </rPr>
          <t>For reference only, change on the top of the spreadsheet.</t>
        </r>
      </text>
    </comment>
    <comment ref="I135" authorId="1" shapeId="0">
      <text>
        <r>
          <rPr>
            <b/>
            <sz val="9"/>
            <color indexed="81"/>
            <rFont val="Segoe UI"/>
            <family val="2"/>
          </rPr>
          <t>For reference only, change on the top of the spreadsheet.</t>
        </r>
      </text>
    </comment>
  </commentList>
</comments>
</file>

<file path=xl/comments2.xml><?xml version="1.0" encoding="utf-8"?>
<comments xmlns="http://schemas.openxmlformats.org/spreadsheetml/2006/main">
  <authors>
    <author>Tork</author>
    <author>Ariel Berti</author>
  </authors>
  <commentList>
    <comment ref="U88" authorId="0" shapeId="0">
      <text>
        <r>
          <rPr>
            <b/>
            <sz val="9"/>
            <color indexed="81"/>
            <rFont val="Tahoma"/>
            <family val="2"/>
          </rPr>
          <t>+Raw Material Costss
+Utilities Costs
-Credits</t>
        </r>
      </text>
    </comment>
    <comment ref="I100" authorId="0" shapeId="0">
      <text>
        <r>
          <rPr>
            <b/>
            <sz val="9"/>
            <color indexed="81"/>
            <rFont val="Tahoma"/>
            <family val="2"/>
          </rPr>
          <t>For reference only, change on the top of the spreadsheet.</t>
        </r>
      </text>
    </comment>
    <comment ref="I129" authorId="1" shapeId="0">
      <text>
        <r>
          <rPr>
            <b/>
            <sz val="9"/>
            <color indexed="81"/>
            <rFont val="Segoe UI"/>
            <family val="2"/>
          </rPr>
          <t>For reference only, change on the top of the spreadsheet.</t>
        </r>
      </text>
    </comment>
    <comment ref="I132" authorId="1" shapeId="0">
      <text>
        <r>
          <rPr>
            <b/>
            <sz val="9"/>
            <color indexed="81"/>
            <rFont val="Segoe UI"/>
            <family val="2"/>
          </rPr>
          <t>For reference only, change on the top of the spreadsheet.</t>
        </r>
      </text>
    </comment>
    <comment ref="I135" authorId="1" shapeId="0">
      <text>
        <r>
          <rPr>
            <b/>
            <sz val="9"/>
            <color indexed="81"/>
            <rFont val="Segoe UI"/>
            <family val="2"/>
          </rPr>
          <t>For reference only, change on the top of the spreadsheet.</t>
        </r>
      </text>
    </comment>
  </commentList>
</comments>
</file>

<file path=xl/sharedStrings.xml><?xml version="1.0" encoding="utf-8"?>
<sst xmlns="http://schemas.openxmlformats.org/spreadsheetml/2006/main" count="347" uniqueCount="120">
  <si>
    <t>Instituto SENAI de Inovação - Biossintéticos</t>
  </si>
  <si>
    <t>Product</t>
  </si>
  <si>
    <t>Desired Capacity</t>
  </si>
  <si>
    <t>Working hours per year</t>
  </si>
  <si>
    <t>Internal Return Rate (IRR)</t>
  </si>
  <si>
    <t>Project Lifetime</t>
  </si>
  <si>
    <t>kta</t>
  </si>
  <si>
    <t>h/yr</t>
  </si>
  <si>
    <t>years</t>
  </si>
  <si>
    <t>CAPEX</t>
  </si>
  <si>
    <t>OPEX</t>
  </si>
  <si>
    <t>Product Value</t>
  </si>
  <si>
    <t>million USD</t>
  </si>
  <si>
    <t>million USD/yr</t>
  </si>
  <si>
    <t>Raw Materials</t>
  </si>
  <si>
    <t>Raw Materials, Utilities and Byproducts</t>
  </si>
  <si>
    <t>Material</t>
  </si>
  <si>
    <t>Price</t>
  </si>
  <si>
    <t>Technical Coefficients</t>
  </si>
  <si>
    <t>Quantity</t>
  </si>
  <si>
    <t>User Input Cell</t>
  </si>
  <si>
    <t>Spreadsheet Output Cell</t>
  </si>
  <si>
    <t>Results</t>
  </si>
  <si>
    <t>Captions</t>
  </si>
  <si>
    <t>(million USD)</t>
  </si>
  <si>
    <t>Cost per year</t>
  </si>
  <si>
    <t>(USD)</t>
  </si>
  <si>
    <t>Percent</t>
  </si>
  <si>
    <t>Utilities</t>
  </si>
  <si>
    <t>Total</t>
  </si>
  <si>
    <t>Byproducts</t>
  </si>
  <si>
    <t>CAPEX and OPEX</t>
  </si>
  <si>
    <t>Cost Index in Project Year</t>
  </si>
  <si>
    <t>Reference Capacity</t>
  </si>
  <si>
    <t>Reference CAPEX
(US Gulf Coast)</t>
  </si>
  <si>
    <t>Reference Cost Index</t>
  </si>
  <si>
    <t>Reduction Coefficient</t>
  </si>
  <si>
    <t>Expansion Coefficient</t>
  </si>
  <si>
    <t>Location Factor</t>
  </si>
  <si>
    <t>CAPEX Correction</t>
  </si>
  <si>
    <t>Capex in Project Year
(Desired Capacity &amp; Location)</t>
  </si>
  <si>
    <t>CAPEX in Project Year
(Desired Capacity in US)</t>
  </si>
  <si>
    <t>(%)</t>
  </si>
  <si>
    <t>Raw Materials Cost</t>
  </si>
  <si>
    <t>G&amp;A, Sales and R&amp;D</t>
  </si>
  <si>
    <t>Utilities Cost</t>
  </si>
  <si>
    <t>Credits</t>
  </si>
  <si>
    <t>Variable Costs</t>
  </si>
  <si>
    <t>Operating Labor</t>
  </si>
  <si>
    <t>Maintenance Labor</t>
  </si>
  <si>
    <t>Laboratory Labor</t>
  </si>
  <si>
    <t>ISBL Cost</t>
  </si>
  <si>
    <t>of CAPEX</t>
  </si>
  <si>
    <t>Maintenance</t>
  </si>
  <si>
    <t>Operating</t>
  </si>
  <si>
    <t>Overhead</t>
  </si>
  <si>
    <t>Taxes and Insurance</t>
  </si>
  <si>
    <t>of Labor Cost</t>
  </si>
  <si>
    <t>/yr of CAPEX</t>
  </si>
  <si>
    <t>Depreciation</t>
  </si>
  <si>
    <t>Fixed Costs</t>
  </si>
  <si>
    <t>Total Fixed Costs</t>
  </si>
  <si>
    <t>Total Variable Costs</t>
  </si>
  <si>
    <t>Total Labor Costs</t>
  </si>
  <si>
    <t>Product Value Calculation</t>
  </si>
  <si>
    <t>Return on Investment</t>
  </si>
  <si>
    <t>Supply Costs</t>
  </si>
  <si>
    <t>Labor Costs</t>
  </si>
  <si>
    <t>Default Value Cell</t>
  </si>
  <si>
    <t>Credit per year</t>
  </si>
  <si>
    <t>General Expenses</t>
  </si>
  <si>
    <t>of Maintenance Labor</t>
  </si>
  <si>
    <t>USD/ton</t>
  </si>
  <si>
    <t>Por favor habilite as macros</t>
  </si>
  <si>
    <t>Please enable macros</t>
  </si>
  <si>
    <t>ISBL and OSBL</t>
  </si>
  <si>
    <t>ISBL Contribution</t>
  </si>
  <si>
    <t>OSBL Cost</t>
  </si>
  <si>
    <t>Total Capital Investment</t>
  </si>
  <si>
    <t>Additional Capital Cost</t>
  </si>
  <si>
    <t>Total Capital Cost</t>
  </si>
  <si>
    <t>Supervisory Labor</t>
  </si>
  <si>
    <t>Operator/Shift</t>
  </si>
  <si>
    <t>Supervisor/Shift</t>
  </si>
  <si>
    <t>USD/yr/Supervisor</t>
  </si>
  <si>
    <t>USD/yr/Operator</t>
  </si>
  <si>
    <t>Number of Shifts</t>
  </si>
  <si>
    <t>Oper. + Sup. Labor</t>
  </si>
  <si>
    <t>Other Fixed Costs</t>
  </si>
  <si>
    <t>Total Supply Costs</t>
  </si>
  <si>
    <t>Total Other Fixed Costs</t>
  </si>
  <si>
    <t>Total General Expenses</t>
  </si>
  <si>
    <t>of Total Fixed + Variable Costs</t>
  </si>
  <si>
    <t>Fixed Costs + Gen. Expenses</t>
  </si>
  <si>
    <t>ISI Input Cell</t>
  </si>
  <si>
    <t>of Fixed Costs + Variable Costs</t>
  </si>
  <si>
    <t>Shifts</t>
  </si>
  <si>
    <t>Reference Only Cell</t>
  </si>
  <si>
    <t>ISI Biosynthetic Process Cost Analysis Spreadsheet</t>
  </si>
  <si>
    <t>This is the spread sheet where you are now. Here we briefly explain what will be found in other sheets</t>
  </si>
  <si>
    <t>Help Sheet</t>
  </si>
  <si>
    <t>Cost Analysis Sheet</t>
  </si>
  <si>
    <t>PV</t>
  </si>
  <si>
    <t>CAPEX Accuracy</t>
  </si>
  <si>
    <t>Error</t>
  </si>
  <si>
    <t>Lower</t>
  </si>
  <si>
    <t>Upper</t>
  </si>
  <si>
    <t>Boundaries</t>
  </si>
  <si>
    <t>ton/h</t>
  </si>
  <si>
    <t>Electricity</t>
  </si>
  <si>
    <t>This sheet can be altered to suit your specific needs, elaborate the calculations with new data or run different scenarios (Warning: The "location factor" option only accounts for changes of the CAPEX. Raw materials, utilities, credits, operators and supervisors cost should be manually revised to match the new location). It details all the calculations done to achieve the product value.
In case you change a value and cannot remember the original value of a specific cell, just delete the value and the original one will be restored. A few cells cannot have zero, negative or non-numeric values, in case you input an invalid value the original value will be automatically restored. You can also click on "Restore Defaults".
By ticking the checkbox above you enable or disable comments that float whenever you hover a cell with your mouse. These comments contains pertinent information about that specific cell.</t>
  </si>
  <si>
    <t>Limonene</t>
  </si>
  <si>
    <t>Cooling water</t>
  </si>
  <si>
    <t>n-Hexadecane</t>
  </si>
  <si>
    <t>kW</t>
  </si>
  <si>
    <t>Nutrients</t>
  </si>
  <si>
    <t>kg/h</t>
  </si>
  <si>
    <t>Steam</t>
  </si>
  <si>
    <t>Carvone</t>
  </si>
  <si>
    <t>This spreadsheet comprises four sheets: Help and Cost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</si>
</sst>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
    <numFmt numFmtId="165" formatCode="0.0000"/>
    <numFmt numFmtId="166" formatCode="#,##0.0"/>
    <numFmt numFmtId="167" formatCode="##,###"/>
    <numFmt numFmtId="168" formatCode="0.0%"/>
    <numFmt numFmtId="169" formatCode="_-\+0%"/>
    <numFmt numFmtId="170" formatCode="_-\-0%"/>
    <numFmt numFmtId="171" formatCode="0.000"/>
    <numFmt numFmtId="172" formatCode="#,##0.000"/>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2"/>
      <color theme="1"/>
      <name val="Calibri"/>
      <family val="2"/>
      <scheme val="minor"/>
    </font>
    <font>
      <b/>
      <sz val="9"/>
      <color indexed="81"/>
      <name val="Tahoma"/>
      <family val="2"/>
    </font>
    <font>
      <b/>
      <sz val="9"/>
      <color indexed="81"/>
      <name val="Segoe UI"/>
      <family val="2"/>
    </font>
    <font>
      <sz val="11"/>
      <color theme="0"/>
      <name val="Calibri"/>
      <family val="2"/>
      <scheme val="minor"/>
    </font>
    <font>
      <sz val="12"/>
      <color theme="0"/>
      <name val="Calibri"/>
      <family val="2"/>
      <scheme val="minor"/>
    </font>
    <font>
      <sz val="11"/>
      <name val="Calibri"/>
      <family val="2"/>
      <scheme val="minor"/>
    </font>
    <font>
      <sz val="8"/>
      <color rgb="FF000000"/>
      <name val="Segoe UI"/>
      <family val="2"/>
    </font>
    <font>
      <sz val="11"/>
      <color rgb="FF000000"/>
      <name val="Calibri"/>
      <family val="2"/>
    </font>
    <font>
      <b/>
      <sz val="11"/>
      <name val="Calibri"/>
      <family val="2"/>
      <scheme val="minor"/>
    </font>
  </fonts>
  <fills count="10">
    <fill>
      <patternFill patternType="none"/>
    </fill>
    <fill>
      <patternFill patternType="gray125"/>
    </fill>
    <fill>
      <patternFill patternType="solid">
        <fgColor rgb="FF5688D2"/>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bgColor indexed="64"/>
      </patternFill>
    </fill>
  </fills>
  <borders count="31">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double">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top style="double">
        <color indexed="64"/>
      </top>
      <bottom/>
      <diagonal/>
    </border>
    <border>
      <left/>
      <right style="double">
        <color indexed="64"/>
      </right>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style="thin">
        <color indexed="64"/>
      </top>
      <bottom style="double">
        <color indexed="64"/>
      </bottom>
      <diagonal/>
    </border>
  </borders>
  <cellStyleXfs count="4">
    <xf numFmtId="0" fontId="0" fillId="0" borderId="0"/>
    <xf numFmtId="9" fontId="1" fillId="0" borderId="0" applyFont="0" applyFill="0" applyBorder="0" applyAlignment="0" applyProtection="0"/>
    <xf numFmtId="4" fontId="5" fillId="4" borderId="0" applyProtection="0">
      <alignment horizontal="left" vertical="center" wrapText="1"/>
    </xf>
    <xf numFmtId="0" fontId="9" fillId="9" borderId="0" applyAlignment="0">
      <alignment horizontal="left" vertical="center" wrapText="1"/>
    </xf>
  </cellStyleXfs>
  <cellXfs count="335">
    <xf numFmtId="0" fontId="0" fillId="0" borderId="0" xfId="0"/>
    <xf numFmtId="0" fontId="0" fillId="0" borderId="0" xfId="0" applyBorder="1"/>
    <xf numFmtId="0" fontId="0" fillId="3" borderId="2" xfId="0" applyFill="1" applyBorder="1" applyProtection="1">
      <protection locked="0"/>
    </xf>
    <xf numFmtId="9" fontId="0" fillId="3" borderId="2" xfId="1" applyFont="1" applyFill="1" applyBorder="1" applyProtection="1">
      <protection locked="0"/>
    </xf>
    <xf numFmtId="9" fontId="0" fillId="0" borderId="2" xfId="1" applyFont="1" applyBorder="1" applyProtection="1">
      <protection locked="0"/>
    </xf>
    <xf numFmtId="0" fontId="0" fillId="0" borderId="6" xfId="0" applyBorder="1"/>
    <xf numFmtId="0" fontId="0" fillId="0" borderId="8" xfId="0"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1" xfId="0" applyBorder="1"/>
    <xf numFmtId="0" fontId="0" fillId="0" borderId="12" xfId="0" applyBorder="1"/>
    <xf numFmtId="0" fontId="0" fillId="0" borderId="5" xfId="0" applyBorder="1"/>
    <xf numFmtId="0" fontId="3" fillId="0" borderId="4" xfId="0" applyFont="1" applyBorder="1" applyAlignment="1">
      <alignment horizontal="center"/>
    </xf>
    <xf numFmtId="0" fontId="0" fillId="0" borderId="3" xfId="0" applyFont="1" applyBorder="1"/>
    <xf numFmtId="4" fontId="0" fillId="3" borderId="2" xfId="0" applyNumberFormat="1" applyFill="1" applyBorder="1" applyProtection="1">
      <protection locked="0"/>
    </xf>
    <xf numFmtId="167" fontId="0" fillId="6" borderId="14" xfId="0" applyNumberFormat="1" applyFill="1" applyBorder="1" applyProtection="1">
      <protection locked="0"/>
    </xf>
    <xf numFmtId="167" fontId="0" fillId="6" borderId="2" xfId="0" applyNumberFormat="1" applyFill="1" applyBorder="1" applyProtection="1">
      <protection locked="0"/>
    </xf>
    <xf numFmtId="165" fontId="0" fillId="6" borderId="2" xfId="0" applyNumberFormat="1" applyFill="1" applyBorder="1" applyProtection="1">
      <protection locked="0"/>
    </xf>
    <xf numFmtId="0" fontId="0" fillId="0" borderId="0" xfId="0" applyProtection="1"/>
    <xf numFmtId="0" fontId="0" fillId="0" borderId="0" xfId="0" applyBorder="1" applyProtection="1"/>
    <xf numFmtId="0" fontId="0" fillId="2" borderId="0" xfId="0" applyFill="1" applyProtection="1"/>
    <xf numFmtId="0" fontId="4" fillId="2" borderId="17" xfId="0" applyFont="1" applyFill="1" applyBorder="1" applyAlignment="1" applyProtection="1">
      <alignment vertical="center"/>
    </xf>
    <xf numFmtId="0" fontId="0" fillId="2" borderId="17" xfId="0" applyFill="1" applyBorder="1" applyProtection="1"/>
    <xf numFmtId="0" fontId="0" fillId="2" borderId="0" xfId="0" applyFill="1" applyBorder="1" applyProtection="1"/>
    <xf numFmtId="0" fontId="0" fillId="2" borderId="21" xfId="0" applyFill="1" applyBorder="1" applyProtection="1"/>
    <xf numFmtId="0" fontId="2" fillId="2" borderId="0" xfId="0" applyFont="1" applyFill="1" applyBorder="1" applyProtection="1"/>
    <xf numFmtId="0" fontId="2" fillId="2" borderId="0" xfId="0" applyFont="1" applyFill="1" applyProtection="1"/>
    <xf numFmtId="0" fontId="0" fillId="2" borderId="23" xfId="0" applyFill="1" applyBorder="1" applyProtection="1"/>
    <xf numFmtId="0" fontId="0" fillId="2" borderId="24" xfId="0" applyFill="1" applyBorder="1" applyProtection="1"/>
    <xf numFmtId="0" fontId="0" fillId="2" borderId="25" xfId="0" applyFill="1" applyBorder="1" applyProtection="1"/>
    <xf numFmtId="0" fontId="0" fillId="4" borderId="0" xfId="0" applyFill="1" applyBorder="1" applyProtection="1"/>
    <xf numFmtId="0" fontId="0" fillId="4" borderId="0" xfId="0" applyFill="1" applyProtection="1"/>
    <xf numFmtId="0" fontId="0" fillId="4" borderId="3" xfId="0" applyFill="1" applyBorder="1" applyAlignment="1" applyProtection="1">
      <alignment horizontal="right"/>
    </xf>
    <xf numFmtId="0" fontId="0" fillId="4" borderId="4" xfId="0" applyFill="1" applyBorder="1" applyProtection="1"/>
    <xf numFmtId="0" fontId="0" fillId="4" borderId="5" xfId="0" applyFill="1" applyBorder="1" applyProtection="1"/>
    <xf numFmtId="0" fontId="0" fillId="4" borderId="3" xfId="0" applyFill="1" applyBorder="1" applyProtection="1"/>
    <xf numFmtId="0" fontId="0" fillId="3" borderId="13" xfId="0" applyFill="1" applyBorder="1" applyProtection="1"/>
    <xf numFmtId="0" fontId="0" fillId="4" borderId="10" xfId="0" applyFill="1" applyBorder="1" applyProtection="1"/>
    <xf numFmtId="0" fontId="0" fillId="3" borderId="14" xfId="0" applyFill="1" applyBorder="1" applyProtection="1"/>
    <xf numFmtId="0" fontId="0" fillId="4" borderId="9" xfId="0" applyFill="1" applyBorder="1" applyProtection="1"/>
    <xf numFmtId="0" fontId="0" fillId="5" borderId="13" xfId="0" applyFill="1" applyBorder="1" applyProtection="1"/>
    <xf numFmtId="0" fontId="0" fillId="5" borderId="14" xfId="0" applyFill="1" applyBorder="1" applyProtection="1"/>
    <xf numFmtId="0" fontId="0" fillId="4" borderId="1" xfId="0" applyFill="1" applyBorder="1" applyProtection="1"/>
    <xf numFmtId="0" fontId="0" fillId="4" borderId="8" xfId="0" applyFill="1" applyBorder="1" applyProtection="1"/>
    <xf numFmtId="0" fontId="0" fillId="4" borderId="0" xfId="0" applyFill="1" applyBorder="1" applyAlignment="1" applyProtection="1">
      <alignment horizontal="left"/>
    </xf>
    <xf numFmtId="4" fontId="0" fillId="5" borderId="14" xfId="0" applyNumberFormat="1" applyFill="1" applyBorder="1" applyProtection="1"/>
    <xf numFmtId="2" fontId="0" fillId="5" borderId="2" xfId="0" applyNumberFormat="1" applyFill="1" applyBorder="1" applyProtection="1"/>
    <xf numFmtId="0" fontId="0" fillId="4" borderId="2" xfId="0" applyFill="1" applyBorder="1" applyProtection="1"/>
    <xf numFmtId="0" fontId="0" fillId="5" borderId="2" xfId="0" applyFill="1" applyBorder="1" applyProtection="1"/>
    <xf numFmtId="165" fontId="0" fillId="4" borderId="0" xfId="0" applyNumberFormat="1" applyFill="1" applyBorder="1" applyProtection="1"/>
    <xf numFmtId="0" fontId="0" fillId="2" borderId="22" xfId="0" applyFill="1" applyBorder="1" applyProtection="1"/>
    <xf numFmtId="0" fontId="0" fillId="4" borderId="17" xfId="0" applyFill="1" applyBorder="1" applyProtection="1"/>
    <xf numFmtId="0" fontId="0" fillId="4" borderId="21" xfId="0" applyFill="1" applyBorder="1" applyProtection="1"/>
    <xf numFmtId="0" fontId="3" fillId="4" borderId="0" xfId="0" applyFont="1" applyFill="1" applyProtection="1"/>
    <xf numFmtId="0" fontId="3" fillId="4" borderId="19" xfId="0" applyFont="1" applyFill="1" applyBorder="1" applyProtection="1"/>
    <xf numFmtId="0" fontId="0" fillId="4" borderId="19" xfId="0" applyFill="1" applyBorder="1" applyProtection="1"/>
    <xf numFmtId="2" fontId="0" fillId="5" borderId="14" xfId="0" applyNumberFormat="1" applyFill="1" applyBorder="1" applyProtection="1"/>
    <xf numFmtId="0" fontId="3" fillId="4" borderId="17" xfId="0" applyFont="1" applyFill="1" applyBorder="1" applyProtection="1"/>
    <xf numFmtId="2" fontId="3" fillId="5" borderId="18" xfId="0" applyNumberFormat="1" applyFont="1" applyFill="1" applyBorder="1" applyProtection="1"/>
    <xf numFmtId="0" fontId="3" fillId="4" borderId="0" xfId="0" applyFont="1" applyFill="1" applyBorder="1" applyProtection="1"/>
    <xf numFmtId="0" fontId="0" fillId="4" borderId="17" xfId="0" applyFont="1" applyFill="1" applyBorder="1" applyAlignment="1" applyProtection="1"/>
    <xf numFmtId="0" fontId="0" fillId="4" borderId="20" xfId="0" applyFill="1" applyBorder="1" applyProtection="1"/>
    <xf numFmtId="0" fontId="0" fillId="4" borderId="0" xfId="0" applyFont="1" applyFill="1" applyBorder="1" applyProtection="1"/>
    <xf numFmtId="0" fontId="3" fillId="4" borderId="0" xfId="0" applyFont="1" applyFill="1" applyBorder="1" applyAlignment="1" applyProtection="1"/>
    <xf numFmtId="0" fontId="0" fillId="4" borderId="0" xfId="0" applyFill="1" applyBorder="1" applyAlignment="1" applyProtection="1">
      <alignment horizontal="right"/>
    </xf>
    <xf numFmtId="3" fontId="0" fillId="4" borderId="0" xfId="0" applyNumberFormat="1" applyFill="1" applyBorder="1" applyProtection="1"/>
    <xf numFmtId="0" fontId="3" fillId="4" borderId="8" xfId="0" applyFont="1" applyFill="1" applyBorder="1" applyProtection="1"/>
    <xf numFmtId="0" fontId="0" fillId="4" borderId="0" xfId="0" applyFill="1" applyAlignment="1" applyProtection="1">
      <alignment horizontal="right"/>
    </xf>
    <xf numFmtId="0" fontId="3" fillId="4" borderId="0" xfId="0" applyFont="1" applyFill="1" applyBorder="1" applyAlignment="1" applyProtection="1">
      <alignment horizontal="right"/>
    </xf>
    <xf numFmtId="0" fontId="3" fillId="4" borderId="4" xfId="0" applyFont="1" applyFill="1" applyBorder="1" applyProtection="1"/>
    <xf numFmtId="9" fontId="0" fillId="4" borderId="4" xfId="1" applyFont="1" applyFill="1" applyBorder="1" applyProtection="1"/>
    <xf numFmtId="2" fontId="0" fillId="4" borderId="0" xfId="0" applyNumberFormat="1" applyFill="1" applyBorder="1" applyProtection="1"/>
    <xf numFmtId="0" fontId="0" fillId="4" borderId="1" xfId="0" applyFont="1" applyFill="1" applyBorder="1" applyProtection="1"/>
    <xf numFmtId="2" fontId="0" fillId="5" borderId="2" xfId="0" applyNumberFormat="1" applyFont="1" applyFill="1" applyBorder="1" applyProtection="1"/>
    <xf numFmtId="0" fontId="3" fillId="4" borderId="16" xfId="0" applyFont="1" applyFill="1" applyBorder="1" applyProtection="1"/>
    <xf numFmtId="0" fontId="0" fillId="4" borderId="16" xfId="0" applyFill="1" applyBorder="1" applyProtection="1"/>
    <xf numFmtId="9" fontId="1" fillId="4" borderId="0" xfId="1" applyFont="1" applyFill="1" applyBorder="1" applyProtection="1"/>
    <xf numFmtId="2" fontId="0" fillId="4" borderId="0" xfId="0" applyNumberFormat="1" applyFont="1" applyFill="1" applyBorder="1" applyProtection="1"/>
    <xf numFmtId="0" fontId="0" fillId="4" borderId="0" xfId="0" applyFill="1" applyBorder="1" applyAlignment="1" applyProtection="1">
      <alignment vertical="center"/>
    </xf>
    <xf numFmtId="164" fontId="0" fillId="5" borderId="2" xfId="0" applyNumberFormat="1" applyFill="1" applyBorder="1" applyAlignment="1" applyProtection="1">
      <alignment vertical="center"/>
    </xf>
    <xf numFmtId="0" fontId="0" fillId="4" borderId="17" xfId="0" applyFill="1" applyBorder="1" applyAlignment="1" applyProtection="1">
      <alignment vertical="center"/>
    </xf>
    <xf numFmtId="164" fontId="0" fillId="5" borderId="18" xfId="0" applyNumberFormat="1" applyFill="1" applyBorder="1" applyAlignment="1" applyProtection="1">
      <alignment vertical="center"/>
    </xf>
    <xf numFmtId="0" fontId="0" fillId="4" borderId="0" xfId="0" applyFill="1" applyBorder="1" applyAlignment="1" applyProtection="1">
      <alignment horizontal="center"/>
    </xf>
    <xf numFmtId="9" fontId="0" fillId="4" borderId="17" xfId="1" applyFont="1" applyFill="1" applyBorder="1" applyAlignment="1" applyProtection="1">
      <alignment vertical="center"/>
    </xf>
    <xf numFmtId="0" fontId="3" fillId="4" borderId="19" xfId="0" applyFont="1" applyFill="1" applyBorder="1" applyAlignment="1" applyProtection="1">
      <alignment vertical="center"/>
    </xf>
    <xf numFmtId="0" fontId="0" fillId="4" borderId="19" xfId="0" applyFill="1" applyBorder="1" applyAlignment="1" applyProtection="1">
      <alignment vertical="center"/>
    </xf>
    <xf numFmtId="9" fontId="0" fillId="4" borderId="19" xfId="1" applyFont="1" applyFill="1" applyBorder="1" applyAlignment="1" applyProtection="1">
      <alignment vertical="center"/>
    </xf>
    <xf numFmtId="166" fontId="0" fillId="4" borderId="2" xfId="0" applyNumberFormat="1" applyFill="1" applyBorder="1" applyAlignment="1" applyProtection="1">
      <alignment horizontal="center"/>
    </xf>
    <xf numFmtId="9" fontId="0" fillId="4" borderId="17" xfId="1" applyFont="1" applyFill="1" applyBorder="1" applyProtection="1"/>
    <xf numFmtId="2" fontId="0" fillId="4" borderId="17" xfId="0" applyNumberFormat="1" applyFill="1" applyBorder="1" applyProtection="1"/>
    <xf numFmtId="2" fontId="3" fillId="4" borderId="0" xfId="0" applyNumberFormat="1" applyFont="1" applyFill="1" applyBorder="1" applyProtection="1"/>
    <xf numFmtId="2" fontId="3" fillId="4" borderId="0" xfId="0" applyNumberFormat="1" applyFont="1" applyFill="1" applyBorder="1" applyAlignment="1" applyProtection="1">
      <alignment vertical="center"/>
    </xf>
    <xf numFmtId="0" fontId="3" fillId="4" borderId="20" xfId="0" applyFont="1" applyFill="1" applyBorder="1" applyProtection="1"/>
    <xf numFmtId="0" fontId="0" fillId="4" borderId="0" xfId="0" applyFill="1" applyAlignment="1" applyProtection="1">
      <alignment horizontal="center"/>
    </xf>
    <xf numFmtId="0" fontId="0" fillId="4" borderId="0" xfId="0" applyFill="1" applyAlignment="1" applyProtection="1">
      <alignment horizontal="left"/>
    </xf>
    <xf numFmtId="0" fontId="0" fillId="4" borderId="9" xfId="0" applyFill="1" applyBorder="1" applyAlignment="1" applyProtection="1">
      <alignment horizontal="left" vertical="center"/>
    </xf>
    <xf numFmtId="0" fontId="0" fillId="4" borderId="0" xfId="0" applyFont="1" applyFill="1" applyBorder="1" applyAlignment="1" applyProtection="1">
      <alignment vertical="center"/>
    </xf>
    <xf numFmtId="166" fontId="0" fillId="4" borderId="0" xfId="0" applyNumberFormat="1" applyFont="1" applyFill="1" applyBorder="1" applyAlignment="1" applyProtection="1">
      <alignment vertical="center"/>
    </xf>
    <xf numFmtId="0" fontId="3" fillId="4" borderId="0" xfId="0" applyFont="1" applyFill="1" applyBorder="1" applyAlignment="1" applyProtection="1">
      <alignment vertical="center"/>
    </xf>
    <xf numFmtId="0" fontId="3" fillId="4" borderId="0" xfId="0" applyFont="1" applyFill="1" applyAlignment="1" applyProtection="1">
      <alignment vertical="center"/>
    </xf>
    <xf numFmtId="1" fontId="0" fillId="5" borderId="2" xfId="0" applyNumberFormat="1" applyFill="1" applyBorder="1" applyProtection="1"/>
    <xf numFmtId="0" fontId="0" fillId="4" borderId="6" xfId="0" applyFill="1" applyBorder="1" applyProtection="1"/>
    <xf numFmtId="0" fontId="0" fillId="4" borderId="7" xfId="0" applyFill="1" applyBorder="1" applyProtection="1"/>
    <xf numFmtId="0" fontId="0" fillId="4" borderId="10" xfId="0" applyFill="1" applyBorder="1" applyAlignment="1" applyProtection="1">
      <alignment vertical="center"/>
    </xf>
    <xf numFmtId="0" fontId="0" fillId="6" borderId="0" xfId="0" applyFill="1" applyBorder="1" applyProtection="1"/>
    <xf numFmtId="2" fontId="0" fillId="8" borderId="2" xfId="0" applyNumberFormat="1" applyFill="1" applyBorder="1" applyProtection="1"/>
    <xf numFmtId="0" fontId="0" fillId="8" borderId="2" xfId="0" applyFill="1" applyBorder="1" applyProtection="1"/>
    <xf numFmtId="2" fontId="0" fillId="8" borderId="14" xfId="0" applyNumberFormat="1" applyFill="1" applyBorder="1" applyProtection="1"/>
    <xf numFmtId="2" fontId="3" fillId="8" borderId="18" xfId="0" applyNumberFormat="1" applyFont="1" applyFill="1" applyBorder="1" applyProtection="1"/>
    <xf numFmtId="2" fontId="0" fillId="8" borderId="2" xfId="0" applyNumberFormat="1" applyFont="1" applyFill="1" applyBorder="1" applyProtection="1"/>
    <xf numFmtId="164" fontId="0" fillId="8" borderId="2" xfId="0" applyNumberFormat="1" applyFill="1" applyBorder="1" applyAlignment="1" applyProtection="1">
      <alignment vertical="center"/>
    </xf>
    <xf numFmtId="164" fontId="0" fillId="8" borderId="18" xfId="0" applyNumberFormat="1" applyFill="1" applyBorder="1" applyAlignment="1" applyProtection="1">
      <alignment vertical="center"/>
    </xf>
    <xf numFmtId="1" fontId="0" fillId="8" borderId="2" xfId="0" applyNumberFormat="1" applyFill="1" applyBorder="1" applyProtection="1"/>
    <xf numFmtId="0" fontId="0" fillId="6" borderId="5" xfId="0" applyFill="1" applyBorder="1" applyProtection="1">
      <protection locked="0"/>
    </xf>
    <xf numFmtId="0" fontId="0" fillId="6" borderId="0" xfId="0" applyFill="1" applyBorder="1" applyProtection="1">
      <protection locked="0"/>
    </xf>
    <xf numFmtId="4" fontId="0" fillId="6" borderId="14" xfId="0" applyNumberFormat="1" applyFill="1" applyBorder="1" applyProtection="1">
      <protection locked="0"/>
    </xf>
    <xf numFmtId="0" fontId="0" fillId="6" borderId="0" xfId="0" applyFill="1" applyBorder="1" applyAlignment="1" applyProtection="1">
      <alignment horizontal="left"/>
      <protection locked="0"/>
    </xf>
    <xf numFmtId="168" fontId="0" fillId="6" borderId="2" xfId="1" applyNumberFormat="1" applyFont="1" applyFill="1" applyBorder="1" applyProtection="1">
      <protection locked="0"/>
    </xf>
    <xf numFmtId="168" fontId="0" fillId="3" borderId="2" xfId="1" applyNumberFormat="1" applyFont="1" applyFill="1" applyBorder="1" applyProtection="1">
      <protection locked="0"/>
    </xf>
    <xf numFmtId="9" fontId="0" fillId="3" borderId="2" xfId="1" applyFont="1" applyFill="1" applyBorder="1" applyAlignment="1" applyProtection="1">
      <alignment vertical="center"/>
      <protection locked="0"/>
    </xf>
    <xf numFmtId="0" fontId="0" fillId="4" borderId="13" xfId="0" applyFill="1" applyBorder="1" applyProtection="1"/>
    <xf numFmtId="0" fontId="0" fillId="4" borderId="14" xfId="0" applyFill="1" applyBorder="1" applyProtection="1"/>
    <xf numFmtId="0" fontId="3" fillId="0" borderId="0" xfId="0" applyFont="1" applyAlignment="1">
      <alignment vertical="top"/>
    </xf>
    <xf numFmtId="0" fontId="0" fillId="0" borderId="0" xfId="0" applyAlignment="1">
      <alignment vertical="top"/>
    </xf>
    <xf numFmtId="0" fontId="3" fillId="2" borderId="0" xfId="0" applyFont="1" applyFill="1"/>
    <xf numFmtId="0" fontId="0" fillId="2" borderId="0" xfId="0" applyFill="1"/>
    <xf numFmtId="0" fontId="0" fillId="2" borderId="0" xfId="0" applyFill="1" applyAlignment="1">
      <alignment vertical="center" wrapText="1"/>
    </xf>
    <xf numFmtId="0" fontId="0" fillId="2" borderId="0" xfId="0" applyFill="1" applyAlignment="1">
      <alignment vertical="top" wrapText="1"/>
    </xf>
    <xf numFmtId="0" fontId="0" fillId="2" borderId="0" xfId="0" applyFill="1" applyAlignment="1">
      <alignment vertical="top"/>
    </xf>
    <xf numFmtId="0" fontId="3" fillId="2" borderId="0" xfId="0" applyFont="1" applyFill="1" applyAlignment="1">
      <alignment vertical="top"/>
    </xf>
    <xf numFmtId="0" fontId="0" fillId="2" borderId="26" xfId="0" applyFill="1" applyBorder="1"/>
    <xf numFmtId="0" fontId="0" fillId="2" borderId="20" xfId="0" applyFill="1" applyBorder="1"/>
    <xf numFmtId="0" fontId="0" fillId="2" borderId="22" xfId="0" applyFill="1" applyBorder="1"/>
    <xf numFmtId="0" fontId="0" fillId="2" borderId="23" xfId="0" applyFill="1" applyBorder="1" applyAlignment="1">
      <alignment vertical="center" wrapText="1"/>
    </xf>
    <xf numFmtId="0" fontId="0" fillId="2" borderId="0" xfId="0" applyFill="1" applyBorder="1" applyAlignment="1">
      <alignment vertical="center" wrapText="1"/>
    </xf>
    <xf numFmtId="0" fontId="0" fillId="2" borderId="0" xfId="0" applyFill="1" applyBorder="1"/>
    <xf numFmtId="0" fontId="0" fillId="2" borderId="21" xfId="0" applyFill="1" applyBorder="1"/>
    <xf numFmtId="0" fontId="3" fillId="2" borderId="0" xfId="0" applyFont="1" applyFill="1" applyBorder="1"/>
    <xf numFmtId="0" fontId="0" fillId="2" borderId="23" xfId="0" applyFill="1" applyBorder="1"/>
    <xf numFmtId="0" fontId="0" fillId="4" borderId="0" xfId="0" applyFill="1" applyBorder="1"/>
    <xf numFmtId="0" fontId="0" fillId="4" borderId="0" xfId="0" applyFill="1" applyBorder="1" applyAlignment="1">
      <alignment vertical="center" wrapText="1"/>
    </xf>
    <xf numFmtId="0" fontId="3" fillId="4" borderId="0" xfId="0" applyFont="1" applyFill="1" applyBorder="1"/>
    <xf numFmtId="0" fontId="0" fillId="2" borderId="23" xfId="0" applyFill="1" applyBorder="1" applyAlignment="1">
      <alignment vertical="top" wrapText="1"/>
    </xf>
    <xf numFmtId="0" fontId="0" fillId="4" borderId="0" xfId="0" applyFill="1" applyBorder="1" applyAlignment="1">
      <alignment vertical="top" wrapText="1"/>
    </xf>
    <xf numFmtId="0" fontId="0" fillId="2" borderId="23" xfId="0" applyFill="1" applyBorder="1" applyAlignment="1">
      <alignment vertical="top"/>
    </xf>
    <xf numFmtId="0" fontId="0" fillId="4" borderId="0" xfId="0" applyFill="1" applyBorder="1" applyAlignment="1">
      <alignment vertical="top"/>
    </xf>
    <xf numFmtId="0" fontId="3" fillId="4" borderId="0" xfId="0" applyFont="1" applyFill="1" applyBorder="1" applyAlignment="1">
      <alignment vertical="top"/>
    </xf>
    <xf numFmtId="0" fontId="0" fillId="4" borderId="0" xfId="0" applyFill="1" applyBorder="1" applyAlignment="1"/>
    <xf numFmtId="0" fontId="0" fillId="2" borderId="24" xfId="0" applyFill="1" applyBorder="1" applyAlignment="1">
      <alignment vertical="top"/>
    </xf>
    <xf numFmtId="0" fontId="0" fillId="2" borderId="17" xfId="0" applyFill="1" applyBorder="1"/>
    <xf numFmtId="0" fontId="0" fillId="2" borderId="17" xfId="0" applyFill="1" applyBorder="1" applyAlignment="1">
      <alignment vertical="top"/>
    </xf>
    <xf numFmtId="0" fontId="0" fillId="2" borderId="25" xfId="0" applyFill="1" applyBorder="1"/>
    <xf numFmtId="0" fontId="8" fillId="2" borderId="0" xfId="0" applyFont="1" applyFill="1" applyBorder="1"/>
    <xf numFmtId="0" fontId="0" fillId="2" borderId="0" xfId="0" applyFont="1" applyFill="1" applyBorder="1" applyAlignment="1">
      <alignment vertical="center" wrapText="1"/>
    </xf>
    <xf numFmtId="0" fontId="3" fillId="2" borderId="0" xfId="0" applyFont="1" applyFill="1" applyBorder="1" applyAlignment="1">
      <alignment vertical="top"/>
    </xf>
    <xf numFmtId="0" fontId="0" fillId="4" borderId="0" xfId="0" applyFill="1" applyAlignment="1" applyProtection="1">
      <alignment horizontal="center" vertical="center"/>
    </xf>
    <xf numFmtId="0" fontId="3" fillId="4" borderId="0" xfId="0" applyFont="1" applyFill="1" applyAlignment="1" applyProtection="1">
      <alignment horizontal="center" vertical="center"/>
    </xf>
    <xf numFmtId="0" fontId="13" fillId="4" borderId="0" xfId="0" applyFont="1" applyFill="1" applyBorder="1" applyAlignment="1" applyProtection="1">
      <alignment horizontal="center" vertical="center"/>
    </xf>
    <xf numFmtId="0" fontId="10" fillId="4" borderId="0" xfId="0" applyFont="1" applyFill="1" applyBorder="1" applyAlignment="1" applyProtection="1"/>
    <xf numFmtId="0" fontId="3" fillId="4" borderId="0" xfId="0" applyFont="1" applyFill="1" applyBorder="1" applyAlignment="1" applyProtection="1">
      <alignment horizontal="center" vertical="center"/>
    </xf>
    <xf numFmtId="2" fontId="0" fillId="4" borderId="0" xfId="0" applyNumberFormat="1" applyFill="1" applyBorder="1" applyAlignment="1" applyProtection="1"/>
    <xf numFmtId="1" fontId="0" fillId="5" borderId="14" xfId="0" applyNumberFormat="1" applyFill="1" applyBorder="1" applyProtection="1"/>
    <xf numFmtId="1" fontId="3" fillId="5" borderId="18" xfId="0" applyNumberFormat="1" applyFont="1" applyFill="1" applyBorder="1" applyProtection="1"/>
    <xf numFmtId="1" fontId="0" fillId="8" borderId="14" xfId="0" applyNumberFormat="1" applyFill="1" applyBorder="1" applyProtection="1"/>
    <xf numFmtId="1" fontId="3" fillId="8" borderId="18" xfId="0" applyNumberFormat="1" applyFont="1" applyFill="1" applyBorder="1" applyProtection="1"/>
    <xf numFmtId="0" fontId="0" fillId="4" borderId="1" xfId="0" applyFill="1" applyBorder="1" applyAlignment="1" applyProtection="1">
      <alignment horizontal="center"/>
    </xf>
    <xf numFmtId="0" fontId="0" fillId="4" borderId="1" xfId="0" applyFill="1" applyBorder="1" applyAlignment="1" applyProtection="1">
      <alignment horizontal="center" vertical="center"/>
    </xf>
    <xf numFmtId="0" fontId="0" fillId="4" borderId="29" xfId="0" applyFill="1" applyBorder="1" applyProtection="1"/>
    <xf numFmtId="0" fontId="0" fillId="7" borderId="2" xfId="0" applyFill="1" applyBorder="1" applyProtection="1">
      <protection locked="0"/>
    </xf>
    <xf numFmtId="4" fontId="0" fillId="7" borderId="2" xfId="0" applyNumberFormat="1" applyFill="1" applyBorder="1" applyProtection="1">
      <protection locked="0"/>
    </xf>
    <xf numFmtId="9" fontId="0" fillId="7" borderId="2" xfId="1" applyFont="1" applyFill="1" applyBorder="1" applyProtection="1">
      <protection locked="0"/>
    </xf>
    <xf numFmtId="9" fontId="0" fillId="7" borderId="2" xfId="1" applyFont="1" applyFill="1" applyBorder="1" applyAlignment="1" applyProtection="1">
      <alignment vertical="center"/>
      <protection locked="0"/>
    </xf>
    <xf numFmtId="4" fontId="0" fillId="3" borderId="14" xfId="0" applyNumberFormat="1" applyFill="1" applyBorder="1" applyProtection="1">
      <protection locked="0"/>
    </xf>
    <xf numFmtId="4" fontId="0" fillId="4" borderId="14" xfId="0" applyNumberFormat="1" applyFill="1" applyBorder="1" applyProtection="1"/>
    <xf numFmtId="2" fontId="0" fillId="6" borderId="14" xfId="0" applyNumberFormat="1" applyFill="1" applyBorder="1" applyProtection="1">
      <protection locked="0"/>
    </xf>
    <xf numFmtId="3" fontId="0" fillId="6" borderId="14" xfId="0" applyNumberFormat="1" applyFill="1" applyBorder="1" applyProtection="1">
      <protection locked="0"/>
    </xf>
    <xf numFmtId="0" fontId="0" fillId="4" borderId="0" xfId="0" applyFill="1" applyBorder="1" applyAlignment="1">
      <alignment vertical="center"/>
    </xf>
    <xf numFmtId="0" fontId="0" fillId="4" borderId="0" xfId="0" applyFill="1"/>
    <xf numFmtId="2" fontId="0" fillId="6" borderId="2" xfId="0" applyNumberFormat="1" applyFill="1" applyBorder="1" applyProtection="1">
      <protection locked="0"/>
    </xf>
    <xf numFmtId="171" fontId="0" fillId="6" borderId="14" xfId="0" applyNumberFormat="1" applyFill="1" applyBorder="1" applyProtection="1">
      <protection locked="0"/>
    </xf>
    <xf numFmtId="172" fontId="0" fillId="6" borderId="14" xfId="0" applyNumberFormat="1" applyFill="1" applyBorder="1" applyProtection="1">
      <protection locked="0"/>
    </xf>
    <xf numFmtId="0" fontId="2" fillId="2" borderId="0" xfId="0" applyFont="1" applyFill="1" applyBorder="1" applyAlignment="1">
      <alignment horizontal="left"/>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0" xfId="0" applyFill="1" applyBorder="1" applyAlignment="1">
      <alignment horizontal="left" vertical="top" wrapText="1"/>
    </xf>
    <xf numFmtId="0" fontId="3" fillId="4" borderId="0" xfId="0" applyFont="1" applyFill="1" applyBorder="1" applyAlignment="1" applyProtection="1">
      <alignment horizontal="center" vertical="center"/>
    </xf>
    <xf numFmtId="2" fontId="0" fillId="4" borderId="0" xfId="0" applyNumberFormat="1" applyFill="1" applyBorder="1" applyAlignment="1" applyProtection="1">
      <alignment horizontal="center"/>
    </xf>
    <xf numFmtId="164" fontId="3" fillId="5" borderId="2" xfId="0" applyNumberFormat="1" applyFont="1" applyFill="1" applyBorder="1" applyAlignment="1" applyProtection="1">
      <alignment horizontal="center" vertical="center"/>
    </xf>
    <xf numFmtId="1" fontId="3" fillId="4" borderId="12" xfId="0" applyNumberFormat="1" applyFont="1" applyFill="1" applyBorder="1" applyAlignment="1" applyProtection="1">
      <alignment horizontal="center" vertical="center"/>
    </xf>
    <xf numFmtId="1" fontId="3" fillId="4" borderId="7" xfId="0" applyNumberFormat="1" applyFont="1" applyFill="1" applyBorder="1" applyAlignment="1" applyProtection="1">
      <alignment horizontal="center" vertical="center"/>
    </xf>
    <xf numFmtId="1" fontId="3" fillId="5" borderId="2" xfId="0" applyNumberFormat="1" applyFont="1" applyFill="1" applyBorder="1" applyAlignment="1" applyProtection="1">
      <alignment horizontal="center" vertical="center"/>
    </xf>
    <xf numFmtId="10" fontId="3" fillId="5" borderId="2" xfId="1" applyNumberFormat="1" applyFont="1" applyFill="1" applyBorder="1" applyAlignment="1" applyProtection="1">
      <alignment horizontal="center" vertical="center"/>
    </xf>
    <xf numFmtId="1" fontId="13" fillId="4" borderId="0" xfId="0" applyNumberFormat="1" applyFont="1" applyFill="1" applyBorder="1" applyAlignment="1" applyProtection="1">
      <alignment horizontal="center" vertical="center"/>
    </xf>
    <xf numFmtId="10" fontId="3" fillId="5" borderId="18" xfId="1" applyNumberFormat="1" applyFont="1" applyFill="1" applyBorder="1" applyAlignment="1" applyProtection="1">
      <alignment horizontal="center" vertical="center"/>
    </xf>
    <xf numFmtId="1" fontId="3" fillId="5" borderId="18" xfId="0" applyNumberFormat="1" applyFont="1" applyFill="1" applyBorder="1" applyAlignment="1" applyProtection="1">
      <alignment horizontal="center" vertical="center"/>
    </xf>
    <xf numFmtId="1" fontId="3" fillId="4" borderId="30" xfId="0" applyNumberFormat="1" applyFont="1" applyFill="1" applyBorder="1" applyAlignment="1" applyProtection="1">
      <alignment horizontal="center" vertical="center"/>
    </xf>
    <xf numFmtId="164" fontId="3" fillId="5" borderId="18" xfId="0" applyNumberFormat="1" applyFont="1" applyFill="1" applyBorder="1" applyAlignment="1" applyProtection="1">
      <alignment horizontal="center" vertical="center"/>
    </xf>
    <xf numFmtId="170" fontId="0" fillId="4" borderId="6" xfId="0" applyNumberFormat="1" applyFill="1" applyBorder="1" applyAlignment="1" applyProtection="1">
      <alignment horizontal="center" vertical="center" wrapText="1"/>
    </xf>
    <xf numFmtId="170" fontId="0" fillId="4" borderId="9" xfId="0" applyNumberFormat="1" applyFill="1" applyBorder="1" applyAlignment="1" applyProtection="1">
      <alignment horizontal="center" vertical="center" wrapText="1"/>
    </xf>
    <xf numFmtId="169" fontId="0" fillId="4" borderId="6" xfId="0" applyNumberFormat="1" applyFill="1" applyBorder="1" applyAlignment="1" applyProtection="1">
      <alignment horizontal="center" vertical="center" wrapText="1"/>
    </xf>
    <xf numFmtId="169" fontId="0" fillId="4" borderId="27" xfId="0" applyNumberFormat="1" applyFill="1" applyBorder="1" applyAlignment="1" applyProtection="1">
      <alignment horizontal="center" vertical="center" wrapText="1"/>
    </xf>
    <xf numFmtId="170" fontId="0" fillId="4" borderId="1" xfId="0" applyNumberFormat="1" applyFill="1" applyBorder="1" applyAlignment="1" applyProtection="1">
      <alignment horizontal="center" vertical="center"/>
    </xf>
    <xf numFmtId="164" fontId="3" fillId="4" borderId="1" xfId="0" applyNumberFormat="1" applyFont="1" applyFill="1" applyBorder="1" applyAlignment="1" applyProtection="1">
      <alignment horizontal="center" vertical="center"/>
    </xf>
    <xf numFmtId="164" fontId="3" fillId="4" borderId="8" xfId="0" applyNumberFormat="1" applyFont="1" applyFill="1" applyBorder="1" applyAlignment="1" applyProtection="1">
      <alignment horizontal="center" vertical="center"/>
    </xf>
    <xf numFmtId="164" fontId="3" fillId="4" borderId="14" xfId="0" applyNumberFormat="1" applyFont="1" applyFill="1" applyBorder="1" applyAlignment="1" applyProtection="1">
      <alignment horizontal="center" vertical="center"/>
    </xf>
    <xf numFmtId="164" fontId="3" fillId="4" borderId="18" xfId="0" applyNumberFormat="1" applyFont="1" applyFill="1" applyBorder="1" applyAlignment="1" applyProtection="1">
      <alignment horizontal="center" vertical="center"/>
    </xf>
    <xf numFmtId="170" fontId="0" fillId="3" borderId="7" xfId="1" applyNumberFormat="1" applyFont="1" applyFill="1" applyBorder="1" applyAlignment="1" applyProtection="1">
      <alignment horizontal="center" vertical="center"/>
      <protection locked="0"/>
    </xf>
    <xf numFmtId="170" fontId="0" fillId="3" borderId="10" xfId="1" applyNumberFormat="1" applyFont="1" applyFill="1" applyBorder="1" applyAlignment="1" applyProtection="1">
      <alignment horizontal="center" vertical="center"/>
      <protection locked="0"/>
    </xf>
    <xf numFmtId="169" fontId="0" fillId="3" borderId="7" xfId="1" applyNumberFormat="1" applyFont="1" applyFill="1" applyBorder="1" applyAlignment="1" applyProtection="1">
      <alignment horizontal="center" vertical="center"/>
      <protection locked="0"/>
    </xf>
    <xf numFmtId="169" fontId="0" fillId="3" borderId="28" xfId="1" applyNumberFormat="1" applyFont="1" applyFill="1" applyBorder="1" applyAlignment="1" applyProtection="1">
      <alignment horizontal="center" vertical="center"/>
      <protection locked="0"/>
    </xf>
    <xf numFmtId="2" fontId="0" fillId="5" borderId="2" xfId="0" applyNumberFormat="1" applyFill="1" applyBorder="1" applyAlignment="1" applyProtection="1">
      <alignment horizontal="center"/>
    </xf>
    <xf numFmtId="2" fontId="0" fillId="5" borderId="3" xfId="0" applyNumberFormat="1" applyFill="1" applyBorder="1" applyAlignment="1" applyProtection="1">
      <alignment horizontal="center"/>
    </xf>
    <xf numFmtId="2" fontId="0" fillId="5" borderId="5" xfId="0" applyNumberFormat="1" applyFill="1" applyBorder="1" applyAlignment="1" applyProtection="1">
      <alignment horizontal="center"/>
    </xf>
    <xf numFmtId="0" fontId="3" fillId="4" borderId="0" xfId="0" applyFont="1" applyFill="1" applyBorder="1" applyAlignment="1" applyProtection="1">
      <alignment horizontal="right" vertical="center"/>
    </xf>
    <xf numFmtId="0" fontId="3" fillId="4" borderId="0" xfId="0" applyFont="1" applyFill="1" applyBorder="1" applyAlignment="1" applyProtection="1">
      <alignment horizontal="left" vertical="center"/>
    </xf>
    <xf numFmtId="0" fontId="3" fillId="4" borderId="0" xfId="0" applyFont="1" applyFill="1" applyAlignment="1" applyProtection="1">
      <alignment horizontal="left" vertical="center"/>
    </xf>
    <xf numFmtId="0" fontId="0" fillId="4" borderId="2" xfId="0" applyFill="1" applyBorder="1" applyAlignment="1" applyProtection="1">
      <alignment horizontal="left"/>
    </xf>
    <xf numFmtId="0" fontId="0" fillId="4" borderId="3" xfId="0" applyFill="1" applyBorder="1" applyAlignment="1" applyProtection="1">
      <alignment horizontal="left"/>
    </xf>
    <xf numFmtId="0" fontId="0" fillId="4" borderId="5" xfId="0" applyFill="1" applyBorder="1" applyAlignment="1" applyProtection="1">
      <alignment horizontal="left"/>
    </xf>
    <xf numFmtId="1" fontId="0" fillId="4" borderId="13" xfId="0" applyNumberFormat="1" applyFill="1" applyBorder="1" applyAlignment="1" applyProtection="1">
      <alignment horizontal="center" vertical="center"/>
    </xf>
    <xf numFmtId="0" fontId="0" fillId="4" borderId="14" xfId="0" applyFill="1" applyBorder="1" applyAlignment="1" applyProtection="1">
      <alignment horizontal="center" vertical="center"/>
    </xf>
    <xf numFmtId="0" fontId="0" fillId="4" borderId="9" xfId="0" applyFill="1" applyBorder="1" applyAlignment="1" applyProtection="1">
      <alignment horizontal="left" vertical="center"/>
    </xf>
    <xf numFmtId="4" fontId="0" fillId="3" borderId="2" xfId="0" applyNumberFormat="1" applyFill="1" applyBorder="1" applyAlignment="1" applyProtection="1">
      <alignment horizontal="center" vertical="center"/>
      <protection locked="0"/>
    </xf>
    <xf numFmtId="0" fontId="0" fillId="4" borderId="0" xfId="0" applyFill="1" applyBorder="1" applyAlignment="1" applyProtection="1">
      <alignment horizontal="left" vertical="center"/>
    </xf>
    <xf numFmtId="0" fontId="0" fillId="4" borderId="0" xfId="0" applyFill="1" applyBorder="1" applyAlignment="1" applyProtection="1">
      <alignment horizontal="right" vertical="center"/>
    </xf>
    <xf numFmtId="0" fontId="0" fillId="4" borderId="10" xfId="0" applyFill="1" applyBorder="1" applyAlignment="1" applyProtection="1">
      <alignment horizontal="right" vertical="center"/>
    </xf>
    <xf numFmtId="0" fontId="3" fillId="4" borderId="9" xfId="0" applyFont="1" applyFill="1" applyBorder="1" applyAlignment="1" applyProtection="1">
      <alignment horizontal="left" vertical="center"/>
    </xf>
    <xf numFmtId="0" fontId="3" fillId="4" borderId="0" xfId="0" applyFont="1" applyFill="1" applyBorder="1" applyAlignment="1" applyProtection="1">
      <alignment horizontal="right" vertical="center" wrapText="1"/>
    </xf>
    <xf numFmtId="0" fontId="3" fillId="4" borderId="10" xfId="0" applyFont="1" applyFill="1" applyBorder="1" applyAlignment="1" applyProtection="1">
      <alignment horizontal="right" vertical="center" wrapText="1"/>
    </xf>
    <xf numFmtId="166" fontId="3" fillId="5" borderId="13" xfId="0" applyNumberFormat="1" applyFont="1" applyFill="1" applyBorder="1" applyAlignment="1" applyProtection="1">
      <alignment horizontal="right" vertical="center"/>
    </xf>
    <xf numFmtId="166" fontId="3" fillId="5" borderId="14" xfId="0" applyNumberFormat="1" applyFont="1" applyFill="1" applyBorder="1" applyAlignment="1" applyProtection="1">
      <alignment horizontal="right" vertical="center"/>
    </xf>
    <xf numFmtId="0" fontId="0" fillId="4" borderId="10" xfId="0" applyFill="1" applyBorder="1" applyAlignment="1" applyProtection="1">
      <alignment horizontal="left" vertical="center"/>
    </xf>
    <xf numFmtId="9" fontId="0" fillId="4" borderId="13" xfId="1" applyFont="1" applyFill="1" applyBorder="1" applyAlignment="1" applyProtection="1">
      <alignment horizontal="center" vertical="center"/>
    </xf>
    <xf numFmtId="9" fontId="0" fillId="4" borderId="14" xfId="1" applyFont="1" applyFill="1" applyBorder="1" applyAlignment="1" applyProtection="1">
      <alignment horizontal="center" vertical="center"/>
    </xf>
    <xf numFmtId="0" fontId="0" fillId="4" borderId="13" xfId="0" applyFill="1" applyBorder="1" applyAlignment="1" applyProtection="1">
      <alignment horizontal="center" vertical="center"/>
    </xf>
    <xf numFmtId="164" fontId="3" fillId="5" borderId="13" xfId="0" applyNumberFormat="1" applyFont="1" applyFill="1" applyBorder="1" applyAlignment="1" applyProtection="1">
      <alignment horizontal="center" vertical="center"/>
    </xf>
    <xf numFmtId="164" fontId="3" fillId="5" borderId="14" xfId="0" applyNumberFormat="1" applyFont="1" applyFill="1" applyBorder="1" applyAlignment="1" applyProtection="1">
      <alignment horizontal="center" vertical="center"/>
    </xf>
    <xf numFmtId="0" fontId="0" fillId="4" borderId="11" xfId="0" applyFill="1" applyBorder="1" applyAlignment="1" applyProtection="1">
      <alignment horizontal="left" vertical="center"/>
    </xf>
    <xf numFmtId="0" fontId="0" fillId="4" borderId="1" xfId="0" applyFill="1" applyBorder="1" applyAlignment="1" applyProtection="1">
      <alignment horizontal="left" vertical="center"/>
    </xf>
    <xf numFmtId="0" fontId="0" fillId="4" borderId="12" xfId="0" applyFill="1" applyBorder="1" applyAlignment="1" applyProtection="1">
      <alignment horizontal="left" vertical="center"/>
    </xf>
    <xf numFmtId="0" fontId="0" fillId="4" borderId="6" xfId="0" applyFill="1" applyBorder="1" applyAlignment="1" applyProtection="1">
      <alignment horizontal="left" vertical="center"/>
    </xf>
    <xf numFmtId="0" fontId="0" fillId="4" borderId="8" xfId="0" applyFill="1" applyBorder="1" applyAlignment="1" applyProtection="1">
      <alignment horizontal="left" vertical="center"/>
    </xf>
    <xf numFmtId="0" fontId="0" fillId="4" borderId="7" xfId="0" applyFill="1" applyBorder="1" applyAlignment="1" applyProtection="1">
      <alignment horizontal="left" vertical="center"/>
    </xf>
    <xf numFmtId="0" fontId="3" fillId="4" borderId="6" xfId="0" applyFont="1" applyFill="1" applyBorder="1" applyAlignment="1" applyProtection="1">
      <alignment horizontal="left" vertical="center"/>
    </xf>
    <xf numFmtId="0" fontId="3" fillId="4" borderId="7" xfId="0" applyFont="1" applyFill="1" applyBorder="1" applyAlignment="1" applyProtection="1">
      <alignment horizontal="left" vertical="center"/>
    </xf>
    <xf numFmtId="0" fontId="3" fillId="4" borderId="10" xfId="0" applyFont="1" applyFill="1" applyBorder="1" applyAlignment="1" applyProtection="1">
      <alignment horizontal="left" vertical="center"/>
    </xf>
    <xf numFmtId="0" fontId="3" fillId="4" borderId="11" xfId="0" applyFont="1" applyFill="1" applyBorder="1" applyAlignment="1" applyProtection="1">
      <alignment horizontal="left" vertical="center"/>
    </xf>
    <xf numFmtId="0" fontId="3" fillId="4" borderId="12" xfId="0" applyFont="1" applyFill="1" applyBorder="1" applyAlignment="1" applyProtection="1">
      <alignment horizontal="left" vertical="center"/>
    </xf>
    <xf numFmtId="3" fontId="3" fillId="5" borderId="13" xfId="0" applyNumberFormat="1" applyFont="1" applyFill="1" applyBorder="1" applyAlignment="1" applyProtection="1">
      <alignment horizontal="right" vertical="center"/>
    </xf>
    <xf numFmtId="3" fontId="3" fillId="5" borderId="14" xfId="0" applyNumberFormat="1" applyFont="1" applyFill="1" applyBorder="1" applyAlignment="1" applyProtection="1">
      <alignment horizontal="right" vertical="center"/>
    </xf>
    <xf numFmtId="164" fontId="3" fillId="5" borderId="13" xfId="0" applyNumberFormat="1" applyFont="1" applyFill="1" applyBorder="1" applyAlignment="1" applyProtection="1">
      <alignment horizontal="right" vertical="center"/>
    </xf>
    <xf numFmtId="164" fontId="3" fillId="5" borderId="14" xfId="0" applyNumberFormat="1" applyFont="1" applyFill="1" applyBorder="1" applyAlignment="1" applyProtection="1">
      <alignment horizontal="right" vertical="center"/>
    </xf>
    <xf numFmtId="0" fontId="0" fillId="3" borderId="13" xfId="0" applyFill="1" applyBorder="1" applyAlignment="1" applyProtection="1">
      <alignment horizontal="right" vertical="center"/>
      <protection locked="0"/>
    </xf>
    <xf numFmtId="0" fontId="0" fillId="3" borderId="14" xfId="0" applyFill="1" applyBorder="1" applyAlignment="1" applyProtection="1">
      <alignment horizontal="right" vertical="center"/>
      <protection locked="0"/>
    </xf>
    <xf numFmtId="0" fontId="0" fillId="4" borderId="15" xfId="0" applyFill="1" applyBorder="1" applyAlignment="1" applyProtection="1">
      <alignment horizontal="left" vertical="center"/>
    </xf>
    <xf numFmtId="0" fontId="0" fillId="4" borderId="14" xfId="0" applyFill="1" applyBorder="1" applyAlignment="1" applyProtection="1">
      <alignment horizontal="left" vertical="center"/>
    </xf>
    <xf numFmtId="0" fontId="3" fillId="4" borderId="6" xfId="0" applyFont="1" applyFill="1" applyBorder="1" applyAlignment="1" applyProtection="1">
      <alignment horizontal="right" vertical="center"/>
    </xf>
    <xf numFmtId="0" fontId="3" fillId="4" borderId="7" xfId="0" applyFont="1" applyFill="1" applyBorder="1" applyAlignment="1" applyProtection="1">
      <alignment horizontal="right" vertical="center"/>
    </xf>
    <xf numFmtId="0" fontId="3" fillId="4" borderId="9" xfId="0" applyFont="1" applyFill="1" applyBorder="1" applyAlignment="1" applyProtection="1">
      <alignment horizontal="right" vertical="center"/>
    </xf>
    <xf numFmtId="0" fontId="3" fillId="4" borderId="10" xfId="0" applyFont="1" applyFill="1" applyBorder="1" applyAlignment="1" applyProtection="1">
      <alignment horizontal="right" vertical="center"/>
    </xf>
    <xf numFmtId="0" fontId="3" fillId="4" borderId="11" xfId="0" applyFont="1" applyFill="1" applyBorder="1" applyAlignment="1" applyProtection="1">
      <alignment horizontal="right" vertical="center"/>
    </xf>
    <xf numFmtId="0" fontId="3" fillId="4" borderId="12" xfId="0" applyFont="1" applyFill="1" applyBorder="1" applyAlignment="1" applyProtection="1">
      <alignment horizontal="right" vertical="center"/>
    </xf>
    <xf numFmtId="0" fontId="0" fillId="4" borderId="6" xfId="0" applyFill="1" applyBorder="1" applyAlignment="1" applyProtection="1">
      <alignment horizontal="right" vertical="center"/>
    </xf>
    <xf numFmtId="0" fontId="0" fillId="4" borderId="8" xfId="0" applyFill="1" applyBorder="1" applyAlignment="1" applyProtection="1">
      <alignment horizontal="right" vertical="center"/>
    </xf>
    <xf numFmtId="0" fontId="0" fillId="4" borderId="7" xfId="0" applyFill="1" applyBorder="1" applyAlignment="1" applyProtection="1">
      <alignment horizontal="right" vertical="center"/>
    </xf>
    <xf numFmtId="0" fontId="0" fillId="4" borderId="9" xfId="0" applyFill="1" applyBorder="1" applyAlignment="1" applyProtection="1">
      <alignment horizontal="right" vertical="center"/>
    </xf>
    <xf numFmtId="0" fontId="0" fillId="4" borderId="11" xfId="0" applyFill="1" applyBorder="1" applyAlignment="1" applyProtection="1">
      <alignment horizontal="right" vertical="center"/>
    </xf>
    <xf numFmtId="0" fontId="0" fillId="4" borderId="1" xfId="0" applyFill="1" applyBorder="1" applyAlignment="1" applyProtection="1">
      <alignment horizontal="right" vertical="center"/>
    </xf>
    <xf numFmtId="0" fontId="0" fillId="4" borderId="12" xfId="0" applyFill="1" applyBorder="1" applyAlignment="1" applyProtection="1">
      <alignment horizontal="right" vertical="center"/>
    </xf>
    <xf numFmtId="1" fontId="0" fillId="3" borderId="13" xfId="0" applyNumberFormat="1" applyFill="1" applyBorder="1" applyAlignment="1" applyProtection="1">
      <alignment horizontal="right" vertical="center"/>
      <protection locked="0"/>
    </xf>
    <xf numFmtId="1" fontId="0" fillId="3" borderId="14" xfId="0" applyNumberFormat="1" applyFill="1" applyBorder="1" applyAlignment="1" applyProtection="1">
      <alignment horizontal="right" vertical="center"/>
      <protection locked="0"/>
    </xf>
    <xf numFmtId="0" fontId="0" fillId="4" borderId="13" xfId="0" applyFill="1" applyBorder="1" applyAlignment="1" applyProtection="1">
      <alignment horizontal="left" vertical="center"/>
    </xf>
    <xf numFmtId="3" fontId="0" fillId="3" borderId="13" xfId="0" applyNumberFormat="1" applyFill="1" applyBorder="1" applyAlignment="1" applyProtection="1">
      <alignment horizontal="right" vertical="center"/>
      <protection locked="0"/>
    </xf>
    <xf numFmtId="3" fontId="0" fillId="3" borderId="14" xfId="0" applyNumberFormat="1" applyFill="1" applyBorder="1" applyAlignment="1" applyProtection="1">
      <alignment horizontal="right" vertical="center"/>
      <protection locked="0"/>
    </xf>
    <xf numFmtId="9" fontId="0" fillId="3" borderId="13" xfId="1" applyFont="1" applyFill="1" applyBorder="1" applyAlignment="1" applyProtection="1">
      <alignment horizontal="right" vertical="center"/>
      <protection locked="0"/>
    </xf>
    <xf numFmtId="9" fontId="0" fillId="3" borderId="14" xfId="1" applyFont="1" applyFill="1" applyBorder="1" applyAlignment="1" applyProtection="1">
      <alignment horizontal="right" vertical="center"/>
      <protection locked="0"/>
    </xf>
    <xf numFmtId="2" fontId="3" fillId="5" borderId="13" xfId="0" applyNumberFormat="1" applyFont="1" applyFill="1" applyBorder="1" applyAlignment="1" applyProtection="1">
      <alignment horizontal="right" vertical="center"/>
    </xf>
    <xf numFmtId="2" fontId="3" fillId="5" borderId="14" xfId="0" applyNumberFormat="1" applyFont="1" applyFill="1" applyBorder="1" applyAlignment="1" applyProtection="1">
      <alignment horizontal="right" vertical="center"/>
    </xf>
    <xf numFmtId="1" fontId="0" fillId="4" borderId="14" xfId="0" applyNumberFormat="1" applyFill="1" applyBorder="1" applyAlignment="1" applyProtection="1">
      <alignment horizontal="center" vertical="center"/>
    </xf>
    <xf numFmtId="0" fontId="3" fillId="4" borderId="1" xfId="0" applyFont="1" applyFill="1" applyBorder="1" applyAlignment="1" applyProtection="1">
      <alignment horizontal="right"/>
    </xf>
    <xf numFmtId="2" fontId="0" fillId="5" borderId="13" xfId="0" applyNumberFormat="1" applyFill="1" applyBorder="1" applyAlignment="1" applyProtection="1">
      <alignment horizontal="right" vertical="center"/>
    </xf>
    <xf numFmtId="2" fontId="0" fillId="5" borderId="14" xfId="0" applyNumberFormat="1" applyFill="1" applyBorder="1" applyAlignment="1" applyProtection="1">
      <alignment horizontal="right" vertical="center"/>
    </xf>
    <xf numFmtId="0" fontId="0" fillId="4" borderId="0" xfId="0" applyFill="1" applyBorder="1" applyAlignment="1" applyProtection="1">
      <alignment horizontal="right" vertical="center" wrapText="1"/>
    </xf>
    <xf numFmtId="166" fontId="0" fillId="3" borderId="2" xfId="0" applyNumberFormat="1" applyFill="1" applyBorder="1" applyAlignment="1" applyProtection="1">
      <alignment horizontal="center" vertical="center"/>
      <protection locked="0"/>
    </xf>
    <xf numFmtId="3" fontId="0" fillId="3" borderId="2" xfId="0" applyNumberFormat="1" applyFill="1" applyBorder="1" applyAlignment="1" applyProtection="1">
      <alignment horizontal="center" vertical="center"/>
      <protection locked="0"/>
    </xf>
    <xf numFmtId="2" fontId="0" fillId="4" borderId="1" xfId="0" applyNumberFormat="1" applyFill="1" applyBorder="1" applyAlignment="1" applyProtection="1">
      <alignment horizontal="center"/>
    </xf>
    <xf numFmtId="170" fontId="0" fillId="7" borderId="2" xfId="0" applyNumberFormat="1" applyFill="1" applyBorder="1" applyAlignment="1" applyProtection="1">
      <alignment horizontal="center" vertical="center"/>
      <protection locked="0"/>
    </xf>
    <xf numFmtId="169" fontId="0" fillId="7" borderId="2" xfId="0" applyNumberFormat="1" applyFill="1" applyBorder="1" applyAlignment="1" applyProtection="1">
      <alignment horizontal="center" vertical="center"/>
      <protection locked="0"/>
    </xf>
    <xf numFmtId="169" fontId="0" fillId="7" borderId="18" xfId="0" applyNumberFormat="1" applyFill="1" applyBorder="1" applyAlignment="1" applyProtection="1">
      <alignment horizontal="center" vertical="center"/>
      <protection locked="0"/>
    </xf>
    <xf numFmtId="164" fontId="3" fillId="8" borderId="2" xfId="0" applyNumberFormat="1" applyFont="1" applyFill="1" applyBorder="1" applyAlignment="1" applyProtection="1">
      <alignment horizontal="center" vertical="center"/>
    </xf>
    <xf numFmtId="164" fontId="3" fillId="8" borderId="18" xfId="0" applyNumberFormat="1" applyFont="1" applyFill="1" applyBorder="1" applyAlignment="1" applyProtection="1">
      <alignment horizontal="center" vertical="center"/>
    </xf>
    <xf numFmtId="1" fontId="3" fillId="8" borderId="2" xfId="0" applyNumberFormat="1" applyFont="1" applyFill="1" applyBorder="1" applyAlignment="1" applyProtection="1">
      <alignment horizontal="center" vertical="center"/>
    </xf>
    <xf numFmtId="1" fontId="3" fillId="8" borderId="18" xfId="0" applyNumberFormat="1" applyFont="1" applyFill="1" applyBorder="1" applyAlignment="1" applyProtection="1">
      <alignment horizontal="center" vertical="center"/>
    </xf>
    <xf numFmtId="10" fontId="3" fillId="8" borderId="2" xfId="1" applyNumberFormat="1" applyFont="1" applyFill="1" applyBorder="1" applyAlignment="1" applyProtection="1">
      <alignment horizontal="center" vertical="center"/>
    </xf>
    <xf numFmtId="10" fontId="3" fillId="8" borderId="18" xfId="1" applyNumberFormat="1" applyFont="1" applyFill="1" applyBorder="1" applyAlignment="1" applyProtection="1">
      <alignment horizontal="center" vertical="center"/>
    </xf>
    <xf numFmtId="3" fontId="0" fillId="7" borderId="13" xfId="0" applyNumberFormat="1" applyFill="1" applyBorder="1" applyAlignment="1" applyProtection="1">
      <alignment horizontal="right" vertical="center"/>
      <protection locked="0"/>
    </xf>
    <xf numFmtId="3" fontId="0" fillId="7" borderId="14" xfId="0" applyNumberFormat="1" applyFill="1" applyBorder="1" applyAlignment="1" applyProtection="1">
      <alignment horizontal="right" vertical="center"/>
      <protection locked="0"/>
    </xf>
    <xf numFmtId="164" fontId="3" fillId="8" borderId="13" xfId="0" applyNumberFormat="1" applyFont="1" applyFill="1" applyBorder="1" applyAlignment="1" applyProtection="1">
      <alignment horizontal="right" vertical="center"/>
    </xf>
    <xf numFmtId="164" fontId="3" fillId="8" borderId="14" xfId="0" applyNumberFormat="1" applyFont="1" applyFill="1" applyBorder="1" applyAlignment="1" applyProtection="1">
      <alignment horizontal="right" vertical="center"/>
    </xf>
    <xf numFmtId="9" fontId="0" fillId="7" borderId="13" xfId="1" applyFont="1" applyFill="1" applyBorder="1" applyAlignment="1" applyProtection="1">
      <alignment horizontal="right" vertical="center"/>
      <protection locked="0"/>
    </xf>
    <xf numFmtId="9" fontId="0" fillId="7" borderId="14" xfId="1" applyFont="1" applyFill="1" applyBorder="1" applyAlignment="1" applyProtection="1">
      <alignment horizontal="right" vertical="center"/>
      <protection locked="0"/>
    </xf>
    <xf numFmtId="164" fontId="0" fillId="8" borderId="13" xfId="0" applyNumberFormat="1" applyFill="1" applyBorder="1" applyAlignment="1" applyProtection="1">
      <alignment horizontal="right" vertical="center"/>
    </xf>
    <xf numFmtId="164" fontId="0" fillId="8" borderId="14" xfId="0" applyNumberFormat="1" applyFill="1" applyBorder="1" applyAlignment="1" applyProtection="1">
      <alignment horizontal="right" vertical="center"/>
    </xf>
    <xf numFmtId="2" fontId="0" fillId="8" borderId="3" xfId="0" applyNumberFormat="1" applyFill="1" applyBorder="1" applyAlignment="1" applyProtection="1">
      <alignment horizontal="center"/>
    </xf>
    <xf numFmtId="2" fontId="0" fillId="8" borderId="5" xfId="0" applyNumberFormat="1" applyFill="1" applyBorder="1" applyAlignment="1" applyProtection="1">
      <alignment horizontal="center"/>
    </xf>
    <xf numFmtId="2" fontId="0" fillId="8" borderId="2" xfId="0" applyNumberFormat="1" applyFill="1" applyBorder="1" applyAlignment="1" applyProtection="1">
      <alignment horizontal="center"/>
    </xf>
    <xf numFmtId="0" fontId="0" fillId="7" borderId="13" xfId="0" applyFill="1" applyBorder="1" applyAlignment="1" applyProtection="1">
      <alignment horizontal="right" vertical="center"/>
      <protection locked="0"/>
    </xf>
    <xf numFmtId="0" fontId="0" fillId="7" borderId="14" xfId="0" applyFill="1" applyBorder="1" applyAlignment="1" applyProtection="1">
      <alignment horizontal="right" vertical="center"/>
      <protection locked="0"/>
    </xf>
    <xf numFmtId="3" fontId="3" fillId="8" borderId="13" xfId="0" applyNumberFormat="1" applyFont="1" applyFill="1" applyBorder="1" applyAlignment="1" applyProtection="1">
      <alignment horizontal="right" vertical="center"/>
    </xf>
    <xf numFmtId="3" fontId="3" fillId="8" borderId="14" xfId="0" applyNumberFormat="1" applyFont="1" applyFill="1" applyBorder="1" applyAlignment="1" applyProtection="1">
      <alignment horizontal="right" vertical="center"/>
    </xf>
    <xf numFmtId="166" fontId="0" fillId="6" borderId="2" xfId="0" applyNumberFormat="1" applyFill="1" applyBorder="1" applyAlignment="1" applyProtection="1">
      <alignment horizontal="center" vertical="center"/>
      <protection locked="0"/>
    </xf>
    <xf numFmtId="3" fontId="0" fillId="7" borderId="2" xfId="0" applyNumberFormat="1" applyFill="1" applyBorder="1" applyAlignment="1" applyProtection="1">
      <alignment horizontal="center" vertical="center"/>
      <protection locked="0"/>
    </xf>
    <xf numFmtId="4" fontId="0" fillId="7" borderId="2" xfId="0" applyNumberFormat="1" applyFill="1" applyBorder="1" applyAlignment="1" applyProtection="1">
      <alignment horizontal="center" vertical="center"/>
      <protection locked="0"/>
    </xf>
    <xf numFmtId="2" fontId="0" fillId="8" borderId="13" xfId="0" applyNumberFormat="1" applyFill="1" applyBorder="1" applyAlignment="1" applyProtection="1">
      <alignment horizontal="right" vertical="center"/>
    </xf>
    <xf numFmtId="2" fontId="0" fillId="8" borderId="14" xfId="0" applyNumberFormat="1" applyFill="1" applyBorder="1" applyAlignment="1" applyProtection="1">
      <alignment horizontal="right" vertical="center"/>
    </xf>
    <xf numFmtId="2" fontId="3" fillId="8" borderId="13" xfId="0" applyNumberFormat="1" applyFont="1" applyFill="1" applyBorder="1" applyAlignment="1" applyProtection="1">
      <alignment horizontal="right" vertical="center"/>
    </xf>
    <xf numFmtId="2" fontId="3" fillId="8" borderId="14" xfId="0" applyNumberFormat="1" applyFont="1" applyFill="1" applyBorder="1" applyAlignment="1" applyProtection="1">
      <alignment horizontal="right" vertical="center"/>
    </xf>
    <xf numFmtId="166" fontId="3" fillId="8" borderId="13" xfId="0" applyNumberFormat="1" applyFont="1" applyFill="1" applyBorder="1" applyAlignment="1" applyProtection="1">
      <alignment horizontal="right" vertical="center"/>
    </xf>
    <xf numFmtId="166" fontId="3" fillId="8" borderId="14" xfId="0" applyNumberFormat="1" applyFont="1" applyFill="1" applyBorder="1" applyAlignment="1" applyProtection="1">
      <alignment horizontal="right" vertical="center"/>
    </xf>
    <xf numFmtId="1" fontId="0" fillId="8" borderId="13" xfId="0" applyNumberFormat="1" applyFill="1" applyBorder="1" applyAlignment="1" applyProtection="1">
      <alignment horizontal="center" vertical="center"/>
    </xf>
    <xf numFmtId="1" fontId="0" fillId="8" borderId="14" xfId="0" applyNumberFormat="1" applyFill="1" applyBorder="1" applyAlignment="1" applyProtection="1">
      <alignment horizontal="center" vertical="center"/>
    </xf>
    <xf numFmtId="0" fontId="0" fillId="7" borderId="13" xfId="0" applyFill="1" applyBorder="1" applyAlignment="1" applyProtection="1">
      <alignment horizontal="center"/>
    </xf>
    <xf numFmtId="0" fontId="0" fillId="7" borderId="14" xfId="0" applyFill="1" applyBorder="1" applyAlignment="1" applyProtection="1">
      <alignment horizontal="center"/>
    </xf>
    <xf numFmtId="0" fontId="0" fillId="8" borderId="13" xfId="0" applyFill="1" applyBorder="1" applyAlignment="1" applyProtection="1">
      <alignment horizontal="center"/>
    </xf>
    <xf numFmtId="0" fontId="0" fillId="8" borderId="14" xfId="0" applyFill="1" applyBorder="1" applyAlignment="1" applyProtection="1">
      <alignment horizontal="center"/>
    </xf>
    <xf numFmtId="0" fontId="0" fillId="6" borderId="13" xfId="0" applyFill="1" applyBorder="1" applyAlignment="1" applyProtection="1">
      <alignment horizontal="center"/>
    </xf>
    <xf numFmtId="0" fontId="0" fillId="6" borderId="14" xfId="0" applyFill="1" applyBorder="1" applyAlignment="1" applyProtection="1">
      <alignment horizontal="center"/>
    </xf>
    <xf numFmtId="9" fontId="0" fillId="8" borderId="13" xfId="1" applyFont="1" applyFill="1" applyBorder="1" applyAlignment="1" applyProtection="1">
      <alignment horizontal="center" vertical="center"/>
    </xf>
    <xf numFmtId="9" fontId="0" fillId="8" borderId="14" xfId="1" applyFont="1" applyFill="1" applyBorder="1" applyAlignment="1" applyProtection="1">
      <alignment horizontal="center" vertical="center"/>
    </xf>
    <xf numFmtId="0" fontId="0" fillId="8" borderId="13" xfId="0" applyFill="1" applyBorder="1" applyAlignment="1" applyProtection="1">
      <alignment horizontal="center" vertical="center"/>
    </xf>
    <xf numFmtId="0" fontId="0" fillId="8" borderId="14" xfId="0" applyFill="1" applyBorder="1" applyAlignment="1" applyProtection="1">
      <alignment horizontal="center" vertical="center"/>
    </xf>
    <xf numFmtId="0" fontId="3" fillId="8" borderId="13" xfId="0" applyFont="1" applyFill="1" applyBorder="1" applyAlignment="1" applyProtection="1">
      <alignment horizontal="center" vertical="center"/>
    </xf>
    <xf numFmtId="0" fontId="3" fillId="8" borderId="14" xfId="0" applyFont="1" applyFill="1" applyBorder="1" applyAlignment="1" applyProtection="1">
      <alignment horizontal="center" vertical="center"/>
    </xf>
  </cellXfs>
  <cellStyles count="4">
    <cellStyle name="Normal" xfId="0" builtinId="0"/>
    <cellStyle name="Porcentagem" xfId="1" builtinId="5"/>
    <cellStyle name="Tabela Cabeçalho" xfId="3"/>
    <cellStyle name="Texto Normal" xfId="2"/>
  </cellStyles>
  <dxfs count="0"/>
  <tableStyles count="0" defaultTableStyle="TableStyleMedium2" defaultPivotStyle="PivotStyleLight16"/>
  <colors>
    <mruColors>
      <color rgb="FF5688D2"/>
      <color rgb="FF59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3</xdr:row>
      <xdr:rowOff>19050</xdr:rowOff>
    </xdr:from>
    <xdr:to>
      <xdr:col>9</xdr:col>
      <xdr:colOff>600075</xdr:colOff>
      <xdr:row>16</xdr:row>
      <xdr:rowOff>180975</xdr:rowOff>
    </xdr:to>
    <xdr:pic>
      <xdr:nvPicPr>
        <xdr:cNvPr id="6" name="Imagem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8650" y="590550"/>
          <a:ext cx="5457825" cy="2638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333375</xdr:colOff>
      <xdr:row>10</xdr:row>
      <xdr:rowOff>57150</xdr:rowOff>
    </xdr:from>
    <xdr:to>
      <xdr:col>8</xdr:col>
      <xdr:colOff>495300</xdr:colOff>
      <xdr:row>11</xdr:row>
      <xdr:rowOff>149775</xdr:rowOff>
    </xdr:to>
    <xdr:sp macro="" textlink="">
      <xdr:nvSpPr>
        <xdr:cNvPr id="7" name="Retângulo 6"/>
        <xdr:cNvSpPr/>
      </xdr:nvSpPr>
      <xdr:spPr>
        <a:xfrm>
          <a:off x="3990975" y="1962150"/>
          <a:ext cx="1381125" cy="2831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21</xdr:row>
          <xdr:rowOff>38100</xdr:rowOff>
        </xdr:from>
        <xdr:to>
          <xdr:col>6</xdr:col>
          <xdr:colOff>266700</xdr:colOff>
          <xdr:row>22</xdr:row>
          <xdr:rowOff>28575</xdr:rowOff>
        </xdr:to>
        <xdr:sp macro="" textlink="">
          <xdr:nvSpPr>
            <xdr:cNvPr id="9219" name="Check Box 3" descr="Enable Help"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Enable Help in Cost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Restore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Clear ISI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0</xdr:rowOff>
        </xdr:from>
        <xdr:to>
          <xdr:col>18</xdr:col>
          <xdr:colOff>0</xdr:colOff>
          <xdr:row>10</xdr:row>
          <xdr:rowOff>0</xdr:rowOff>
        </xdr:to>
        <xdr:sp macro="" textlink="">
          <xdr:nvSpPr>
            <xdr:cNvPr id="8200" name="Button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Restore Default Value Cells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cro"/>
  <dimension ref="B2:J18"/>
  <sheetViews>
    <sheetView showGridLines="0" tabSelected="1" workbookViewId="0">
      <selection activeCell="F1" sqref="F1"/>
    </sheetView>
  </sheetViews>
  <sheetFormatPr defaultRowHeight="15" x14ac:dyDescent="0.25"/>
  <sheetData>
    <row r="2" spans="2:10" x14ac:dyDescent="0.25">
      <c r="B2" s="15"/>
      <c r="C2" s="14" t="s">
        <v>73</v>
      </c>
      <c r="D2" s="13"/>
      <c r="H2" s="15"/>
      <c r="I2" s="14" t="s">
        <v>74</v>
      </c>
      <c r="J2" s="13"/>
    </row>
    <row r="4" spans="2:10" x14ac:dyDescent="0.25">
      <c r="B4" s="5"/>
      <c r="C4" s="6"/>
      <c r="D4" s="6"/>
      <c r="E4" s="6"/>
      <c r="F4" s="6"/>
      <c r="G4" s="6"/>
      <c r="H4" s="6"/>
      <c r="I4" s="6"/>
      <c r="J4" s="7"/>
    </row>
    <row r="5" spans="2:10" x14ac:dyDescent="0.25">
      <c r="B5" s="8"/>
      <c r="C5" s="1"/>
      <c r="D5" s="1"/>
      <c r="E5" s="1"/>
      <c r="F5" s="1"/>
      <c r="G5" s="1"/>
      <c r="H5" s="1"/>
      <c r="I5" s="1"/>
      <c r="J5" s="9"/>
    </row>
    <row r="6" spans="2:10" x14ac:dyDescent="0.25">
      <c r="B6" s="8"/>
      <c r="C6" s="1"/>
      <c r="D6" s="1"/>
      <c r="E6" s="1"/>
      <c r="F6" s="1"/>
      <c r="G6" s="1"/>
      <c r="H6" s="1"/>
      <c r="I6" s="1"/>
      <c r="J6" s="9"/>
    </row>
    <row r="7" spans="2:10" x14ac:dyDescent="0.25">
      <c r="B7" s="8"/>
      <c r="C7" s="1"/>
      <c r="D7" s="1"/>
      <c r="E7" s="1"/>
      <c r="F7" s="1"/>
      <c r="G7" s="1"/>
      <c r="H7" s="1"/>
      <c r="I7" s="1"/>
      <c r="J7" s="9"/>
    </row>
    <row r="8" spans="2:10" x14ac:dyDescent="0.25">
      <c r="B8" s="8"/>
      <c r="C8" s="1"/>
      <c r="D8" s="1"/>
      <c r="E8" s="1"/>
      <c r="F8" s="1"/>
      <c r="G8" s="1"/>
      <c r="H8" s="1"/>
      <c r="I8" s="1"/>
      <c r="J8" s="9"/>
    </row>
    <row r="9" spans="2:10" x14ac:dyDescent="0.25">
      <c r="B9" s="8"/>
      <c r="C9" s="1"/>
      <c r="D9" s="1"/>
      <c r="E9" s="1"/>
      <c r="F9" s="1"/>
      <c r="G9" s="1"/>
      <c r="H9" s="1"/>
      <c r="I9" s="1"/>
      <c r="J9" s="9"/>
    </row>
    <row r="10" spans="2:10" x14ac:dyDescent="0.25">
      <c r="B10" s="8"/>
      <c r="C10" s="1"/>
      <c r="D10" s="1"/>
      <c r="E10" s="1"/>
      <c r="F10" s="1"/>
      <c r="G10" s="1"/>
      <c r="H10" s="1"/>
      <c r="I10" s="1"/>
      <c r="J10" s="9"/>
    </row>
    <row r="11" spans="2:10" x14ac:dyDescent="0.25">
      <c r="B11" s="8"/>
      <c r="C11" s="1"/>
      <c r="D11" s="1"/>
      <c r="E11" s="1"/>
      <c r="F11" s="1"/>
      <c r="G11" s="1"/>
      <c r="H11" s="1"/>
      <c r="I11" s="1"/>
      <c r="J11" s="9"/>
    </row>
    <row r="12" spans="2:10" x14ac:dyDescent="0.25">
      <c r="B12" s="8"/>
      <c r="C12" s="1"/>
      <c r="D12" s="1"/>
      <c r="E12" s="1"/>
      <c r="F12" s="1"/>
      <c r="G12" s="1"/>
      <c r="H12" s="1"/>
      <c r="I12" s="1"/>
      <c r="J12" s="9"/>
    </row>
    <row r="13" spans="2:10" x14ac:dyDescent="0.25">
      <c r="B13" s="8"/>
      <c r="C13" s="1"/>
      <c r="D13" s="1"/>
      <c r="E13" s="1"/>
      <c r="F13" s="1"/>
      <c r="G13" s="1"/>
      <c r="H13" s="1"/>
      <c r="I13" s="1"/>
      <c r="J13" s="9"/>
    </row>
    <row r="14" spans="2:10" x14ac:dyDescent="0.25">
      <c r="B14" s="8"/>
      <c r="C14" s="1"/>
      <c r="D14" s="1"/>
      <c r="E14" s="1"/>
      <c r="F14" s="1"/>
      <c r="G14" s="1"/>
      <c r="H14" s="1"/>
      <c r="I14" s="1"/>
      <c r="J14" s="9"/>
    </row>
    <row r="15" spans="2:10" x14ac:dyDescent="0.25">
      <c r="B15" s="8"/>
      <c r="C15" s="1"/>
      <c r="D15" s="1"/>
      <c r="E15" s="1"/>
      <c r="F15" s="1"/>
      <c r="G15" s="1"/>
      <c r="H15" s="1"/>
      <c r="I15" s="1"/>
      <c r="J15" s="9"/>
    </row>
    <row r="16" spans="2:10" x14ac:dyDescent="0.25">
      <c r="B16" s="8"/>
      <c r="C16" s="1"/>
      <c r="D16" s="1"/>
      <c r="E16" s="1"/>
      <c r="F16" s="1"/>
      <c r="G16" s="1"/>
      <c r="H16" s="1"/>
      <c r="I16" s="1"/>
      <c r="J16" s="9"/>
    </row>
    <row r="17" spans="2:10" x14ac:dyDescent="0.25">
      <c r="B17" s="10"/>
      <c r="C17" s="11"/>
      <c r="D17" s="11"/>
      <c r="E17" s="11"/>
      <c r="F17" s="11"/>
      <c r="G17" s="11"/>
      <c r="H17" s="11"/>
      <c r="I17" s="11"/>
      <c r="J17" s="12"/>
    </row>
    <row r="18" spans="2:10" x14ac:dyDescent="0.25">
      <c r="B18" s="1"/>
      <c r="C18" s="1"/>
      <c r="D18" s="1"/>
      <c r="E18" s="1"/>
      <c r="F18" s="1"/>
      <c r="G18" s="1"/>
      <c r="H18" s="1"/>
      <c r="I18" s="1"/>
      <c r="J18" s="1"/>
    </row>
  </sheetData>
  <sheetProtection algorithmName="SHA-512" hashValue="fp8VK0nCKcbYK3xNsm7XEPZfQYKUHPEfSIHZdLL4vcXckftoJfhge06CRD7HQ0EYvVm5XmJIl8Lv4zYVw/an4w==" saltValue="XWK95BSLqfFviCtuhydx0w==" spinCount="100000" sheet="1" objects="1" scenario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elp"/>
  <dimension ref="B1:U39"/>
  <sheetViews>
    <sheetView showGridLines="0" zoomScaleNormal="100" workbookViewId="0"/>
  </sheetViews>
  <sheetFormatPr defaultRowHeight="15" x14ac:dyDescent="0.25"/>
  <cols>
    <col min="1" max="1" width="1.42578125" customWidth="1"/>
    <col min="2" max="3" width="0.7109375" customWidth="1"/>
    <col min="4" max="4" width="1.42578125" customWidth="1"/>
    <col min="19" max="19" width="1.42578125" customWidth="1"/>
    <col min="20" max="21" width="0.7109375" customWidth="1"/>
    <col min="22" max="22" width="1.42578125" customWidth="1"/>
  </cols>
  <sheetData>
    <row r="1" spans="2:21" ht="7.5" customHeight="1" x14ac:dyDescent="0.25"/>
    <row r="2" spans="2:21" ht="3.75" customHeight="1" thickBot="1" x14ac:dyDescent="0.3">
      <c r="B2" s="126"/>
      <c r="C2" s="127"/>
      <c r="D2" s="127"/>
      <c r="E2" s="127"/>
      <c r="F2" s="127"/>
      <c r="G2" s="127"/>
      <c r="H2" s="126"/>
      <c r="I2" s="127"/>
      <c r="J2" s="127"/>
      <c r="K2" s="127"/>
      <c r="L2" s="127"/>
      <c r="M2" s="127"/>
      <c r="N2" s="127"/>
      <c r="O2" s="127"/>
      <c r="P2" s="127"/>
      <c r="Q2" s="127"/>
      <c r="R2" s="127"/>
      <c r="S2" s="127"/>
      <c r="T2" s="127"/>
      <c r="U2" s="127"/>
    </row>
    <row r="3" spans="2:21" ht="3.75" customHeight="1" thickTop="1" x14ac:dyDescent="0.25">
      <c r="B3" s="127"/>
      <c r="C3" s="132"/>
      <c r="D3" s="133"/>
      <c r="E3" s="133"/>
      <c r="F3" s="133"/>
      <c r="G3" s="133"/>
      <c r="H3" s="133"/>
      <c r="I3" s="133"/>
      <c r="J3" s="133"/>
      <c r="K3" s="133"/>
      <c r="L3" s="133"/>
      <c r="M3" s="133"/>
      <c r="N3" s="133"/>
      <c r="O3" s="133"/>
      <c r="P3" s="133"/>
      <c r="Q3" s="133"/>
      <c r="R3" s="133"/>
      <c r="S3" s="133"/>
      <c r="T3" s="134"/>
      <c r="U3" s="127"/>
    </row>
    <row r="4" spans="2:21" ht="15" customHeight="1" x14ac:dyDescent="0.25">
      <c r="B4" s="128"/>
      <c r="C4" s="135"/>
      <c r="D4" s="136"/>
      <c r="E4" s="155"/>
      <c r="F4" s="136"/>
      <c r="G4" s="136"/>
      <c r="H4" s="136"/>
      <c r="I4" s="137"/>
      <c r="J4" s="137"/>
      <c r="K4" s="137"/>
      <c r="L4" s="137"/>
      <c r="M4" s="137"/>
      <c r="N4" s="137"/>
      <c r="O4" s="137"/>
      <c r="P4" s="137"/>
      <c r="Q4" s="137"/>
      <c r="R4" s="137"/>
      <c r="S4" s="137"/>
      <c r="T4" s="138"/>
      <c r="U4" s="127"/>
    </row>
    <row r="5" spans="2:21" x14ac:dyDescent="0.25">
      <c r="B5" s="128"/>
      <c r="C5" s="135"/>
      <c r="D5" s="136"/>
      <c r="E5" s="183" t="s">
        <v>98</v>
      </c>
      <c r="F5" s="183"/>
      <c r="G5" s="183"/>
      <c r="H5" s="183"/>
      <c r="I5" s="183"/>
      <c r="J5" s="137"/>
      <c r="K5" s="137"/>
      <c r="L5" s="137"/>
      <c r="M5" s="137"/>
      <c r="N5" s="137"/>
      <c r="O5" s="137"/>
      <c r="P5" s="137"/>
      <c r="Q5" s="137"/>
      <c r="R5" s="137"/>
      <c r="S5" s="137"/>
      <c r="T5" s="138"/>
      <c r="U5" s="127"/>
    </row>
    <row r="6" spans="2:21" ht="15" customHeight="1" x14ac:dyDescent="0.25">
      <c r="B6" s="128"/>
      <c r="C6" s="135"/>
      <c r="D6" s="136"/>
      <c r="E6" s="154"/>
      <c r="F6" s="136"/>
      <c r="G6" s="136"/>
      <c r="H6" s="139"/>
      <c r="I6" s="137"/>
      <c r="J6" s="137"/>
      <c r="K6" s="137"/>
      <c r="L6" s="137"/>
      <c r="M6" s="137"/>
      <c r="N6" s="137"/>
      <c r="O6" s="137"/>
      <c r="P6" s="137"/>
      <c r="Q6" s="137"/>
      <c r="R6" s="137"/>
      <c r="S6" s="137"/>
      <c r="T6" s="138"/>
      <c r="U6" s="127"/>
    </row>
    <row r="7" spans="2:21" ht="7.5" customHeight="1" x14ac:dyDescent="0.25">
      <c r="B7" s="126"/>
      <c r="C7" s="140"/>
      <c r="D7" s="141"/>
      <c r="E7" s="142"/>
      <c r="F7" s="142"/>
      <c r="G7" s="142"/>
      <c r="H7" s="142"/>
      <c r="I7" s="142"/>
      <c r="J7" s="142"/>
      <c r="K7" s="141"/>
      <c r="L7" s="141"/>
      <c r="M7" s="141"/>
      <c r="N7" s="141"/>
      <c r="O7" s="141"/>
      <c r="P7" s="141"/>
      <c r="Q7" s="141"/>
      <c r="R7" s="141"/>
      <c r="S7" s="141"/>
      <c r="T7" s="138"/>
      <c r="U7" s="127"/>
    </row>
    <row r="8" spans="2:21" ht="15" customHeight="1" x14ac:dyDescent="0.25">
      <c r="B8" s="127"/>
      <c r="C8" s="140"/>
      <c r="D8" s="141"/>
      <c r="E8" s="185" t="s">
        <v>119</v>
      </c>
      <c r="F8" s="185"/>
      <c r="G8" s="185"/>
      <c r="H8" s="185"/>
      <c r="I8" s="185"/>
      <c r="J8" s="185"/>
      <c r="K8" s="185"/>
      <c r="L8" s="185"/>
      <c r="M8" s="185"/>
      <c r="N8" s="185"/>
      <c r="O8" s="185"/>
      <c r="P8" s="185"/>
      <c r="Q8" s="185"/>
      <c r="R8" s="185"/>
      <c r="S8" s="141"/>
      <c r="T8" s="138"/>
      <c r="U8" s="127"/>
    </row>
    <row r="9" spans="2:21" x14ac:dyDescent="0.25">
      <c r="B9" s="127"/>
      <c r="C9" s="140"/>
      <c r="D9" s="141"/>
      <c r="E9" s="178"/>
      <c r="F9" s="178"/>
      <c r="G9" s="178"/>
      <c r="H9" s="178"/>
      <c r="I9" s="178"/>
      <c r="J9" s="178"/>
      <c r="K9" s="141"/>
      <c r="L9" s="141"/>
      <c r="M9" s="141"/>
      <c r="N9" s="141"/>
      <c r="O9" s="141"/>
      <c r="P9" s="141"/>
      <c r="Q9" s="141"/>
      <c r="R9" s="141"/>
      <c r="S9" s="141"/>
      <c r="T9" s="138"/>
      <c r="U9" s="127"/>
    </row>
    <row r="10" spans="2:21" ht="15" customHeight="1" x14ac:dyDescent="0.25">
      <c r="B10" s="126"/>
      <c r="C10" s="140"/>
      <c r="D10" s="141"/>
      <c r="E10" s="143" t="s">
        <v>100</v>
      </c>
      <c r="F10" s="141"/>
      <c r="G10" s="141"/>
      <c r="H10" s="142"/>
      <c r="I10" s="141"/>
      <c r="J10" s="141"/>
      <c r="K10" s="141"/>
      <c r="L10" s="141"/>
      <c r="M10" s="141"/>
      <c r="N10" s="141"/>
      <c r="O10" s="141"/>
      <c r="P10" s="141"/>
      <c r="Q10" s="141"/>
      <c r="R10" s="141"/>
      <c r="S10" s="141"/>
      <c r="T10" s="138"/>
      <c r="U10" s="127"/>
    </row>
    <row r="11" spans="2:21" ht="15" customHeight="1" x14ac:dyDescent="0.25">
      <c r="B11" s="129"/>
      <c r="C11" s="144"/>
      <c r="D11" s="145"/>
      <c r="E11" s="141" t="s">
        <v>99</v>
      </c>
      <c r="F11" s="141"/>
      <c r="G11" s="141"/>
      <c r="H11" s="142"/>
      <c r="I11" s="141"/>
      <c r="J11" s="141"/>
      <c r="K11" s="141"/>
      <c r="L11" s="141"/>
      <c r="M11" s="141"/>
      <c r="N11" s="141"/>
      <c r="O11" s="141"/>
      <c r="P11" s="141"/>
      <c r="Q11" s="141"/>
      <c r="R11" s="141"/>
      <c r="S11" s="141"/>
      <c r="T11" s="138"/>
      <c r="U11" s="127"/>
    </row>
    <row r="12" spans="2:21" x14ac:dyDescent="0.25">
      <c r="B12" s="129"/>
      <c r="C12" s="144"/>
      <c r="D12" s="145"/>
      <c r="E12" s="179"/>
      <c r="F12" s="145"/>
      <c r="G12" s="145"/>
      <c r="H12" s="143"/>
      <c r="I12" s="145"/>
      <c r="J12" s="145"/>
      <c r="K12" s="145"/>
      <c r="L12" s="145"/>
      <c r="M12" s="145"/>
      <c r="N12" s="145"/>
      <c r="O12" s="145"/>
      <c r="P12" s="145"/>
      <c r="Q12" s="141"/>
      <c r="R12" s="141"/>
      <c r="S12" s="141"/>
      <c r="T12" s="138"/>
      <c r="U12" s="127"/>
    </row>
    <row r="13" spans="2:21" x14ac:dyDescent="0.25">
      <c r="B13" s="129"/>
      <c r="C13" s="144"/>
      <c r="D13" s="145"/>
      <c r="E13" s="143" t="s">
        <v>101</v>
      </c>
      <c r="F13" s="145"/>
      <c r="G13" s="145"/>
      <c r="H13" s="141"/>
      <c r="I13" s="145"/>
      <c r="J13" s="145"/>
      <c r="K13" s="145"/>
      <c r="L13" s="145"/>
      <c r="M13" s="145"/>
      <c r="N13" s="145"/>
      <c r="O13" s="145"/>
      <c r="P13" s="145"/>
      <c r="Q13" s="141"/>
      <c r="R13" s="141"/>
      <c r="S13" s="141"/>
      <c r="T13" s="138"/>
      <c r="U13" s="127"/>
    </row>
    <row r="14" spans="2:21" ht="15" customHeight="1" x14ac:dyDescent="0.25">
      <c r="B14" s="129"/>
      <c r="C14" s="144"/>
      <c r="D14" s="145"/>
      <c r="E14" s="186" t="s">
        <v>110</v>
      </c>
      <c r="F14" s="186"/>
      <c r="G14" s="186"/>
      <c r="H14" s="186"/>
      <c r="I14" s="186"/>
      <c r="J14" s="186"/>
      <c r="K14" s="186"/>
      <c r="L14" s="186"/>
      <c r="M14" s="186"/>
      <c r="N14" s="186"/>
      <c r="O14" s="186"/>
      <c r="P14" s="186"/>
      <c r="Q14" s="186"/>
      <c r="R14" s="186"/>
      <c r="S14" s="141"/>
      <c r="T14" s="138"/>
      <c r="U14" s="127"/>
    </row>
    <row r="15" spans="2:21" ht="15" customHeight="1" x14ac:dyDescent="0.25">
      <c r="B15" s="129"/>
      <c r="C15" s="144"/>
      <c r="D15" s="145"/>
      <c r="E15" s="186"/>
      <c r="F15" s="186"/>
      <c r="G15" s="186"/>
      <c r="H15" s="186"/>
      <c r="I15" s="186"/>
      <c r="J15" s="186"/>
      <c r="K15" s="186"/>
      <c r="L15" s="186"/>
      <c r="M15" s="186"/>
      <c r="N15" s="186"/>
      <c r="O15" s="186"/>
      <c r="P15" s="186"/>
      <c r="Q15" s="186"/>
      <c r="R15" s="186"/>
      <c r="S15" s="145"/>
      <c r="T15" s="138"/>
      <c r="U15" s="127"/>
    </row>
    <row r="16" spans="2:21" x14ac:dyDescent="0.25">
      <c r="B16" s="129"/>
      <c r="C16" s="144"/>
      <c r="D16" s="145"/>
      <c r="E16" s="186"/>
      <c r="F16" s="186"/>
      <c r="G16" s="186"/>
      <c r="H16" s="186"/>
      <c r="I16" s="186"/>
      <c r="J16" s="186"/>
      <c r="K16" s="186"/>
      <c r="L16" s="186"/>
      <c r="M16" s="186"/>
      <c r="N16" s="186"/>
      <c r="O16" s="186"/>
      <c r="P16" s="186"/>
      <c r="Q16" s="186"/>
      <c r="R16" s="186"/>
      <c r="S16" s="145"/>
      <c r="T16" s="138"/>
      <c r="U16" s="127"/>
    </row>
    <row r="17" spans="2:21" ht="15" customHeight="1" x14ac:dyDescent="0.25">
      <c r="B17" s="129"/>
      <c r="C17" s="144"/>
      <c r="D17" s="145"/>
      <c r="E17" s="186"/>
      <c r="F17" s="186"/>
      <c r="G17" s="186"/>
      <c r="H17" s="186"/>
      <c r="I17" s="186"/>
      <c r="J17" s="186"/>
      <c r="K17" s="186"/>
      <c r="L17" s="186"/>
      <c r="M17" s="186"/>
      <c r="N17" s="186"/>
      <c r="O17" s="186"/>
      <c r="P17" s="186"/>
      <c r="Q17" s="186"/>
      <c r="R17" s="186"/>
      <c r="S17" s="145"/>
      <c r="T17" s="138"/>
      <c r="U17" s="127"/>
    </row>
    <row r="18" spans="2:21" x14ac:dyDescent="0.25">
      <c r="B18" s="129"/>
      <c r="C18" s="144"/>
      <c r="D18" s="145"/>
      <c r="E18" s="186"/>
      <c r="F18" s="186"/>
      <c r="G18" s="186"/>
      <c r="H18" s="186"/>
      <c r="I18" s="186"/>
      <c r="J18" s="186"/>
      <c r="K18" s="186"/>
      <c r="L18" s="186"/>
      <c r="M18" s="186"/>
      <c r="N18" s="186"/>
      <c r="O18" s="186"/>
      <c r="P18" s="186"/>
      <c r="Q18" s="186"/>
      <c r="R18" s="186"/>
      <c r="S18" s="145"/>
      <c r="T18" s="138"/>
      <c r="U18" s="127"/>
    </row>
    <row r="19" spans="2:21" x14ac:dyDescent="0.25">
      <c r="B19" s="130"/>
      <c r="C19" s="146"/>
      <c r="D19" s="147"/>
      <c r="E19" s="186"/>
      <c r="F19" s="186"/>
      <c r="G19" s="186"/>
      <c r="H19" s="186"/>
      <c r="I19" s="186"/>
      <c r="J19" s="186"/>
      <c r="K19" s="186"/>
      <c r="L19" s="186"/>
      <c r="M19" s="186"/>
      <c r="N19" s="186"/>
      <c r="O19" s="186"/>
      <c r="P19" s="186"/>
      <c r="Q19" s="186"/>
      <c r="R19" s="186"/>
      <c r="S19" s="145"/>
      <c r="T19" s="138"/>
      <c r="U19" s="127"/>
    </row>
    <row r="20" spans="2:21" x14ac:dyDescent="0.25">
      <c r="B20" s="131"/>
      <c r="C20" s="146"/>
      <c r="D20" s="147"/>
      <c r="E20" s="186"/>
      <c r="F20" s="186"/>
      <c r="G20" s="186"/>
      <c r="H20" s="186"/>
      <c r="I20" s="186"/>
      <c r="J20" s="186"/>
      <c r="K20" s="186"/>
      <c r="L20" s="186"/>
      <c r="M20" s="186"/>
      <c r="N20" s="186"/>
      <c r="O20" s="186"/>
      <c r="P20" s="186"/>
      <c r="Q20" s="186"/>
      <c r="R20" s="186"/>
      <c r="S20" s="145"/>
      <c r="T20" s="138"/>
      <c r="U20" s="127"/>
    </row>
    <row r="21" spans="2:21" x14ac:dyDescent="0.25">
      <c r="B21" s="130"/>
      <c r="C21" s="146"/>
      <c r="D21" s="147"/>
      <c r="E21" s="186"/>
      <c r="F21" s="186"/>
      <c r="G21" s="186"/>
      <c r="H21" s="186"/>
      <c r="I21" s="186"/>
      <c r="J21" s="186"/>
      <c r="K21" s="186"/>
      <c r="L21" s="186"/>
      <c r="M21" s="186"/>
      <c r="N21" s="186"/>
      <c r="O21" s="186"/>
      <c r="P21" s="186"/>
      <c r="Q21" s="186"/>
      <c r="R21" s="186"/>
      <c r="S21" s="145"/>
      <c r="T21" s="138"/>
      <c r="U21" s="127"/>
    </row>
    <row r="22" spans="2:21" x14ac:dyDescent="0.25">
      <c r="B22" s="130"/>
      <c r="C22" s="146"/>
      <c r="D22" s="147"/>
      <c r="E22" s="186"/>
      <c r="F22" s="186"/>
      <c r="G22" s="186"/>
      <c r="H22" s="186"/>
      <c r="I22" s="186"/>
      <c r="J22" s="186"/>
      <c r="K22" s="186"/>
      <c r="L22" s="186"/>
      <c r="M22" s="186"/>
      <c r="N22" s="186"/>
      <c r="O22" s="186"/>
      <c r="P22" s="186"/>
      <c r="Q22" s="186"/>
      <c r="R22" s="186"/>
      <c r="S22" s="145"/>
      <c r="T22" s="138"/>
      <c r="U22" s="127"/>
    </row>
    <row r="23" spans="2:21" x14ac:dyDescent="0.25">
      <c r="B23" s="131"/>
      <c r="C23" s="146"/>
      <c r="D23" s="147"/>
      <c r="E23" s="186"/>
      <c r="F23" s="186"/>
      <c r="G23" s="186"/>
      <c r="H23" s="186"/>
      <c r="I23" s="186"/>
      <c r="J23" s="186"/>
      <c r="K23" s="186"/>
      <c r="L23" s="186"/>
      <c r="M23" s="186"/>
      <c r="N23" s="186"/>
      <c r="O23" s="186"/>
      <c r="P23" s="186"/>
      <c r="Q23" s="186"/>
      <c r="R23" s="186"/>
      <c r="S23" s="145"/>
      <c r="T23" s="138"/>
      <c r="U23" s="127"/>
    </row>
    <row r="24" spans="2:21" x14ac:dyDescent="0.25">
      <c r="B24" s="130"/>
      <c r="C24" s="146"/>
      <c r="D24" s="147"/>
      <c r="E24" s="186"/>
      <c r="F24" s="186"/>
      <c r="G24" s="186"/>
      <c r="H24" s="186"/>
      <c r="I24" s="186"/>
      <c r="J24" s="186"/>
      <c r="K24" s="186"/>
      <c r="L24" s="186"/>
      <c r="M24" s="186"/>
      <c r="N24" s="186"/>
      <c r="O24" s="186"/>
      <c r="P24" s="186"/>
      <c r="Q24" s="186"/>
      <c r="R24" s="186"/>
      <c r="S24" s="145"/>
      <c r="T24" s="138"/>
      <c r="U24" s="127"/>
    </row>
    <row r="25" spans="2:21" x14ac:dyDescent="0.25">
      <c r="B25" s="130"/>
      <c r="C25" s="146"/>
      <c r="D25" s="147"/>
      <c r="E25" s="186"/>
      <c r="F25" s="186"/>
      <c r="G25" s="186"/>
      <c r="H25" s="186"/>
      <c r="I25" s="186"/>
      <c r="J25" s="186"/>
      <c r="K25" s="186"/>
      <c r="L25" s="186"/>
      <c r="M25" s="186"/>
      <c r="N25" s="186"/>
      <c r="O25" s="186"/>
      <c r="P25" s="186"/>
      <c r="Q25" s="186"/>
      <c r="R25" s="186"/>
      <c r="S25" s="145"/>
      <c r="T25" s="138"/>
      <c r="U25" s="127"/>
    </row>
    <row r="26" spans="2:21" x14ac:dyDescent="0.25">
      <c r="B26" s="130"/>
      <c r="C26" s="146"/>
      <c r="D26" s="147"/>
      <c r="E26" s="148"/>
      <c r="F26" s="147"/>
      <c r="G26" s="147"/>
      <c r="H26" s="145"/>
      <c r="I26" s="145"/>
      <c r="J26" s="145"/>
      <c r="K26" s="145"/>
      <c r="L26" s="145"/>
      <c r="M26" s="145"/>
      <c r="N26" s="145"/>
      <c r="O26" s="145"/>
      <c r="P26" s="145"/>
      <c r="Q26" s="145"/>
      <c r="R26" s="145"/>
      <c r="S26" s="145"/>
      <c r="T26" s="138"/>
      <c r="U26" s="127"/>
    </row>
    <row r="27" spans="2:21" x14ac:dyDescent="0.25">
      <c r="B27" s="130"/>
      <c r="C27" s="146"/>
      <c r="D27" s="147"/>
      <c r="E27" s="184"/>
      <c r="F27" s="184"/>
      <c r="G27" s="184"/>
      <c r="H27" s="184"/>
      <c r="I27" s="184"/>
      <c r="J27" s="184"/>
      <c r="K27" s="184"/>
      <c r="L27" s="184"/>
      <c r="M27" s="184"/>
      <c r="N27" s="184"/>
      <c r="O27" s="184"/>
      <c r="P27" s="184"/>
      <c r="Q27" s="184"/>
      <c r="R27" s="184"/>
      <c r="S27" s="145"/>
      <c r="T27" s="138"/>
      <c r="U27" s="127"/>
    </row>
    <row r="28" spans="2:21" x14ac:dyDescent="0.25">
      <c r="B28" s="130"/>
      <c r="C28" s="146"/>
      <c r="D28" s="147"/>
      <c r="E28" s="184"/>
      <c r="F28" s="184"/>
      <c r="G28" s="184"/>
      <c r="H28" s="184"/>
      <c r="I28" s="184"/>
      <c r="J28" s="184"/>
      <c r="K28" s="184"/>
      <c r="L28" s="184"/>
      <c r="M28" s="184"/>
      <c r="N28" s="184"/>
      <c r="O28" s="184"/>
      <c r="P28" s="184"/>
      <c r="Q28" s="184"/>
      <c r="R28" s="184"/>
      <c r="S28" s="145"/>
      <c r="T28" s="138"/>
      <c r="U28" s="127"/>
    </row>
    <row r="29" spans="2:21" x14ac:dyDescent="0.25">
      <c r="B29" s="130"/>
      <c r="C29" s="146"/>
      <c r="D29" s="147"/>
      <c r="E29" s="147"/>
      <c r="F29" s="147"/>
      <c r="G29" s="147"/>
      <c r="H29" s="145"/>
      <c r="I29" s="145"/>
      <c r="J29" s="145"/>
      <c r="K29" s="145"/>
      <c r="L29" s="145"/>
      <c r="M29" s="145"/>
      <c r="N29" s="145"/>
      <c r="O29" s="145"/>
      <c r="P29" s="145"/>
      <c r="Q29" s="145"/>
      <c r="R29" s="145"/>
      <c r="S29" s="141"/>
      <c r="T29" s="138"/>
      <c r="U29" s="127"/>
    </row>
    <row r="30" spans="2:21" x14ac:dyDescent="0.25">
      <c r="B30" s="131"/>
      <c r="C30" s="146"/>
      <c r="D30" s="147"/>
      <c r="E30" s="148"/>
      <c r="F30" s="147"/>
      <c r="G30" s="147"/>
      <c r="H30" s="147"/>
      <c r="I30" s="147"/>
      <c r="J30" s="147"/>
      <c r="K30" s="147"/>
      <c r="L30" s="147"/>
      <c r="M30" s="147"/>
      <c r="N30" s="147"/>
      <c r="O30" s="147"/>
      <c r="P30" s="141"/>
      <c r="Q30" s="141"/>
      <c r="R30" s="141"/>
      <c r="S30" s="141"/>
      <c r="T30" s="138"/>
      <c r="U30" s="127"/>
    </row>
    <row r="31" spans="2:21" ht="15" customHeight="1" x14ac:dyDescent="0.25">
      <c r="B31" s="130"/>
      <c r="C31" s="146"/>
      <c r="D31" s="149"/>
      <c r="E31" s="184"/>
      <c r="F31" s="184"/>
      <c r="G31" s="184"/>
      <c r="H31" s="184"/>
      <c r="I31" s="184"/>
      <c r="J31" s="184"/>
      <c r="K31" s="184"/>
      <c r="L31" s="184"/>
      <c r="M31" s="184"/>
      <c r="N31" s="184"/>
      <c r="O31" s="184"/>
      <c r="P31" s="184"/>
      <c r="Q31" s="184"/>
      <c r="R31" s="184"/>
      <c r="S31" s="141"/>
      <c r="T31" s="138"/>
      <c r="U31" s="127"/>
    </row>
    <row r="32" spans="2:21" ht="15" customHeight="1" x14ac:dyDescent="0.25">
      <c r="B32" s="130"/>
      <c r="C32" s="146"/>
      <c r="D32" s="149"/>
      <c r="E32" s="184"/>
      <c r="F32" s="184"/>
      <c r="G32" s="184"/>
      <c r="H32" s="184"/>
      <c r="I32" s="184"/>
      <c r="J32" s="184"/>
      <c r="K32" s="184"/>
      <c r="L32" s="184"/>
      <c r="M32" s="184"/>
      <c r="N32" s="184"/>
      <c r="O32" s="184"/>
      <c r="P32" s="184"/>
      <c r="Q32" s="184"/>
      <c r="R32" s="184"/>
      <c r="S32" s="141"/>
      <c r="T32" s="138"/>
      <c r="U32" s="127"/>
    </row>
    <row r="33" spans="2:21" ht="7.5" customHeight="1" x14ac:dyDescent="0.25">
      <c r="B33" s="130"/>
      <c r="C33" s="146"/>
      <c r="D33" s="149"/>
      <c r="E33" s="148"/>
      <c r="F33" s="147"/>
      <c r="G33" s="147"/>
      <c r="H33" s="147"/>
      <c r="I33" s="147"/>
      <c r="J33" s="147"/>
      <c r="K33" s="147"/>
      <c r="L33" s="147"/>
      <c r="M33" s="147"/>
      <c r="N33" s="147"/>
      <c r="O33" s="147"/>
      <c r="P33" s="141"/>
      <c r="Q33" s="141"/>
      <c r="R33" s="141"/>
      <c r="S33" s="141"/>
      <c r="T33" s="138"/>
      <c r="U33" s="127"/>
    </row>
    <row r="34" spans="2:21" ht="3.75" customHeight="1" thickBot="1" x14ac:dyDescent="0.3">
      <c r="B34" s="131"/>
      <c r="C34" s="150"/>
      <c r="D34" s="151"/>
      <c r="E34" s="152"/>
      <c r="F34" s="152"/>
      <c r="G34" s="152"/>
      <c r="H34" s="152"/>
      <c r="I34" s="152"/>
      <c r="J34" s="152"/>
      <c r="K34" s="152"/>
      <c r="L34" s="152"/>
      <c r="M34" s="152"/>
      <c r="N34" s="152"/>
      <c r="O34" s="152"/>
      <c r="P34" s="151"/>
      <c r="Q34" s="151"/>
      <c r="R34" s="151"/>
      <c r="S34" s="151"/>
      <c r="T34" s="153"/>
      <c r="U34" s="127"/>
    </row>
    <row r="35" spans="2:21" ht="3.75" customHeight="1" thickTop="1" x14ac:dyDescent="0.25">
      <c r="B35" s="130"/>
      <c r="C35" s="130"/>
      <c r="D35" s="137"/>
      <c r="E35" s="137"/>
      <c r="F35" s="137"/>
      <c r="G35" s="137"/>
      <c r="H35" s="156"/>
      <c r="I35" s="137"/>
      <c r="J35" s="137"/>
      <c r="K35" s="137"/>
      <c r="L35" s="137"/>
      <c r="M35" s="137"/>
      <c r="N35" s="137"/>
      <c r="O35" s="137"/>
      <c r="P35" s="137"/>
      <c r="Q35" s="137"/>
      <c r="R35" s="137"/>
      <c r="S35" s="137"/>
      <c r="T35" s="137"/>
      <c r="U35" s="127"/>
    </row>
    <row r="36" spans="2:21" ht="7.5" customHeight="1" x14ac:dyDescent="0.25">
      <c r="H36" s="125"/>
    </row>
    <row r="37" spans="2:21" ht="15" customHeight="1" x14ac:dyDescent="0.25">
      <c r="H37" s="125"/>
    </row>
    <row r="38" spans="2:21" x14ac:dyDescent="0.25">
      <c r="H38" s="124"/>
    </row>
    <row r="39" spans="2:21" x14ac:dyDescent="0.25">
      <c r="H39" s="125"/>
    </row>
  </sheetData>
  <sheetProtection algorithmName="SHA-512" hashValue="WAx1OHG6SX5RI9FE1uQOysKUcOSyH5iq4/EqWdz2s1cN5Zn/vWSJXZobMtKuatdWtJm4n6Ad9NUPd4A/Qb6HOQ==" saltValue="OzP79Xervc+rS3THgf3wZQ==" spinCount="100000" sheet="1" objects="1" scenarios="1"/>
  <mergeCells count="5">
    <mergeCell ref="E5:I5"/>
    <mergeCell ref="E27:R28"/>
    <mergeCell ref="E31:R32"/>
    <mergeCell ref="E8:R8"/>
    <mergeCell ref="E14:R25"/>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Check Box 3">
              <controlPr defaultSize="0" autoFill="0" autoLine="0" autoPict="0" macro="[0]!Help.EnableHelp" altText="Enable Help">
                <anchor moveWithCells="1">
                  <from>
                    <xdr:col>4</xdr:col>
                    <xdr:colOff>19050</xdr:colOff>
                    <xdr:row>21</xdr:row>
                    <xdr:rowOff>38100</xdr:rowOff>
                  </from>
                  <to>
                    <xdr:col>6</xdr:col>
                    <xdr:colOff>266700</xdr:colOff>
                    <xdr:row>22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st"/>
  <dimension ref="A1:Z164"/>
  <sheetViews>
    <sheetView showGridLines="0" zoomScaleNormal="100" zoomScaleSheetLayoutView="100" workbookViewId="0">
      <selection activeCell="H10" sqref="H10"/>
    </sheetView>
  </sheetViews>
  <sheetFormatPr defaultRowHeight="15" x14ac:dyDescent="0.25"/>
  <cols>
    <col min="1" max="1" width="1.42578125" customWidth="1"/>
    <col min="2" max="3" width="0.7109375" customWidth="1"/>
    <col min="4" max="4" width="1.42578125" customWidth="1"/>
    <col min="10" max="10" width="9.140625" customWidth="1"/>
    <col min="12" max="12" width="9.140625" customWidth="1"/>
    <col min="14" max="15" width="9.140625" customWidth="1"/>
    <col min="23" max="23" width="1.42578125" customWidth="1"/>
    <col min="24" max="25" width="0.7109375" customWidth="1"/>
    <col min="26" max="26" width="1.42578125" customWidth="1"/>
  </cols>
  <sheetData>
    <row r="1" spans="1:26" ht="7.5" customHeight="1" x14ac:dyDescent="0.25">
      <c r="A1" s="20"/>
      <c r="B1" s="20"/>
      <c r="C1" s="21"/>
      <c r="D1" s="21"/>
      <c r="E1" s="21"/>
      <c r="F1" s="21"/>
      <c r="G1" s="21"/>
      <c r="H1" s="21"/>
      <c r="I1" s="21"/>
      <c r="J1" s="21"/>
      <c r="K1" s="21"/>
      <c r="L1" s="21"/>
      <c r="M1" s="21"/>
      <c r="N1" s="21"/>
      <c r="O1" s="21"/>
      <c r="P1" s="21"/>
      <c r="Q1" s="21"/>
      <c r="R1" s="21"/>
      <c r="S1" s="21"/>
      <c r="T1" s="21"/>
      <c r="U1" s="21"/>
      <c r="V1" s="21"/>
      <c r="W1" s="21"/>
      <c r="X1" s="21"/>
      <c r="Y1" s="21"/>
      <c r="Z1" s="20"/>
    </row>
    <row r="2" spans="1:26" ht="3.75" customHeight="1" thickBot="1" x14ac:dyDescent="0.3">
      <c r="A2" s="20"/>
      <c r="B2" s="22"/>
      <c r="C2" s="23"/>
      <c r="D2" s="24"/>
      <c r="E2" s="24"/>
      <c r="F2" s="24"/>
      <c r="G2" s="24"/>
      <c r="H2" s="24"/>
      <c r="I2" s="24"/>
      <c r="J2" s="24"/>
      <c r="K2" s="24"/>
      <c r="L2" s="24"/>
      <c r="M2" s="24"/>
      <c r="N2" s="24"/>
      <c r="O2" s="24"/>
      <c r="P2" s="24"/>
      <c r="Q2" s="24"/>
      <c r="R2" s="24"/>
      <c r="S2" s="24"/>
      <c r="T2" s="24"/>
      <c r="U2" s="24"/>
      <c r="V2" s="24"/>
      <c r="W2" s="24"/>
      <c r="X2" s="24"/>
      <c r="Y2" s="25"/>
      <c r="Z2" s="21"/>
    </row>
    <row r="3" spans="1:26" ht="3.75" customHeight="1" thickTop="1" x14ac:dyDescent="0.25">
      <c r="A3" s="20"/>
      <c r="B3" s="26"/>
      <c r="C3" s="27"/>
      <c r="D3" s="25"/>
      <c r="E3" s="27"/>
      <c r="F3" s="25"/>
      <c r="G3" s="25"/>
      <c r="H3" s="25"/>
      <c r="I3" s="25"/>
      <c r="J3" s="25"/>
      <c r="K3" s="25"/>
      <c r="L3" s="25"/>
      <c r="M3" s="25"/>
      <c r="N3" s="25"/>
      <c r="O3" s="25"/>
      <c r="P3" s="25"/>
      <c r="Q3" s="25"/>
      <c r="R3" s="25"/>
      <c r="S3" s="25"/>
      <c r="T3" s="25"/>
      <c r="U3" s="25"/>
      <c r="V3" s="25"/>
      <c r="W3" s="25"/>
      <c r="X3" s="26"/>
      <c r="Y3" s="22"/>
      <c r="Z3" s="20"/>
    </row>
    <row r="4" spans="1:26" ht="15" customHeight="1" x14ac:dyDescent="0.25">
      <c r="A4" s="20"/>
      <c r="B4" s="26"/>
      <c r="C4" s="22"/>
      <c r="D4" s="22"/>
      <c r="E4" s="22"/>
      <c r="F4" s="22"/>
      <c r="G4" s="22"/>
      <c r="H4" s="22"/>
      <c r="I4" s="22"/>
      <c r="J4" s="22"/>
      <c r="K4" s="22"/>
      <c r="L4" s="22"/>
      <c r="M4" s="22"/>
      <c r="N4" s="22"/>
      <c r="O4" s="22"/>
      <c r="P4" s="22"/>
      <c r="Q4" s="22"/>
      <c r="R4" s="22"/>
      <c r="S4" s="22"/>
      <c r="T4" s="22"/>
      <c r="U4" s="22"/>
      <c r="V4" s="22"/>
      <c r="W4" s="22"/>
      <c r="X4" s="26"/>
      <c r="Y4" s="22"/>
      <c r="Z4" s="20"/>
    </row>
    <row r="5" spans="1:26" ht="15" customHeight="1" x14ac:dyDescent="0.25">
      <c r="A5" s="20"/>
      <c r="B5" s="26"/>
      <c r="C5" s="22"/>
      <c r="D5" s="28" t="s">
        <v>0</v>
      </c>
      <c r="E5" s="22"/>
      <c r="F5" s="22"/>
      <c r="G5" s="22"/>
      <c r="H5" s="22"/>
      <c r="I5" s="22"/>
      <c r="J5" s="22"/>
      <c r="K5" s="22"/>
      <c r="L5" s="22"/>
      <c r="M5" s="22"/>
      <c r="N5" s="22"/>
      <c r="O5" s="22"/>
      <c r="P5" s="22"/>
      <c r="Q5" s="22"/>
      <c r="R5" s="22"/>
      <c r="S5" s="22"/>
      <c r="T5" s="22"/>
      <c r="U5" s="22"/>
      <c r="V5" s="22"/>
      <c r="W5" s="22"/>
      <c r="X5" s="26"/>
      <c r="Y5" s="22"/>
      <c r="Z5" s="20"/>
    </row>
    <row r="6" spans="1:26" ht="15" customHeight="1" x14ac:dyDescent="0.25">
      <c r="A6" s="20"/>
      <c r="B6" s="22"/>
      <c r="C6" s="29"/>
      <c r="D6" s="25"/>
      <c r="E6" s="25"/>
      <c r="F6" s="25"/>
      <c r="G6" s="25"/>
      <c r="H6" s="25"/>
      <c r="I6" s="25"/>
      <c r="J6" s="25"/>
      <c r="K6" s="25"/>
      <c r="L6" s="25"/>
      <c r="M6" s="25"/>
      <c r="N6" s="25"/>
      <c r="O6" s="25"/>
      <c r="P6" s="25"/>
      <c r="Q6" s="25"/>
      <c r="R6" s="25"/>
      <c r="S6" s="25"/>
      <c r="T6" s="25"/>
      <c r="U6" s="25"/>
      <c r="V6" s="25"/>
      <c r="W6" s="25"/>
      <c r="X6" s="26"/>
      <c r="Y6" s="22"/>
      <c r="Z6" s="20"/>
    </row>
    <row r="7" spans="1:26" ht="3.75" customHeight="1" thickBot="1" x14ac:dyDescent="0.3">
      <c r="A7" s="20"/>
      <c r="B7" s="26"/>
      <c r="C7" s="30"/>
      <c r="D7" s="24"/>
      <c r="E7" s="24"/>
      <c r="F7" s="24"/>
      <c r="G7" s="24"/>
      <c r="H7" s="24"/>
      <c r="I7" s="24"/>
      <c r="J7" s="24"/>
      <c r="K7" s="24"/>
      <c r="L7" s="24"/>
      <c r="M7" s="24"/>
      <c r="N7" s="24"/>
      <c r="O7" s="24"/>
      <c r="P7" s="24"/>
      <c r="Q7" s="24"/>
      <c r="R7" s="24"/>
      <c r="S7" s="24"/>
      <c r="T7" s="24"/>
      <c r="U7" s="24"/>
      <c r="V7" s="24"/>
      <c r="W7" s="24"/>
      <c r="X7" s="31"/>
      <c r="Y7" s="22"/>
      <c r="Z7" s="20"/>
    </row>
    <row r="8" spans="1:26" ht="3.75" customHeight="1" thickTop="1" x14ac:dyDescent="0.25">
      <c r="A8" s="20"/>
      <c r="B8" s="26"/>
      <c r="C8" s="22"/>
      <c r="D8" s="22"/>
      <c r="E8" s="22"/>
      <c r="F8" s="22"/>
      <c r="G8" s="22"/>
      <c r="H8" s="22"/>
      <c r="I8" s="22"/>
      <c r="J8" s="22"/>
      <c r="K8" s="22"/>
      <c r="L8" s="22"/>
      <c r="M8" s="22"/>
      <c r="N8" s="22"/>
      <c r="O8" s="22"/>
      <c r="P8" s="22"/>
      <c r="Q8" s="22"/>
      <c r="R8" s="22"/>
      <c r="S8" s="22"/>
      <c r="T8" s="22"/>
      <c r="U8" s="22"/>
      <c r="V8" s="22"/>
      <c r="W8" s="22"/>
      <c r="X8" s="26"/>
      <c r="Y8" s="22"/>
      <c r="Z8" s="20"/>
    </row>
    <row r="9" spans="1:26" ht="15" customHeight="1" x14ac:dyDescent="0.25">
      <c r="A9" s="20"/>
      <c r="B9" s="22"/>
      <c r="C9" s="29"/>
      <c r="D9" s="32"/>
      <c r="E9" s="32"/>
      <c r="F9" s="32"/>
      <c r="G9" s="32"/>
      <c r="H9" s="32"/>
      <c r="I9" s="32"/>
      <c r="J9" s="32"/>
      <c r="K9" s="32"/>
      <c r="L9" s="32"/>
      <c r="M9" s="32"/>
      <c r="N9" s="32"/>
      <c r="O9" s="32"/>
      <c r="P9" s="32"/>
      <c r="Q9" s="32"/>
      <c r="R9" s="32"/>
      <c r="S9" s="32"/>
      <c r="T9" s="32"/>
      <c r="U9" s="32"/>
      <c r="V9" s="32"/>
      <c r="W9" s="32"/>
      <c r="X9" s="26"/>
      <c r="Y9" s="22"/>
      <c r="Z9" s="20"/>
    </row>
    <row r="10" spans="1:26" ht="15" customHeight="1" x14ac:dyDescent="0.25">
      <c r="A10" s="20"/>
      <c r="B10" s="22"/>
      <c r="C10" s="29"/>
      <c r="D10" s="32"/>
      <c r="E10" s="33"/>
      <c r="F10" s="34" t="s">
        <v>1</v>
      </c>
      <c r="G10" s="35"/>
      <c r="H10" s="36" t="str">
        <f>Base!H10</f>
        <v>Carvone</v>
      </c>
      <c r="I10" s="32"/>
      <c r="J10" s="32"/>
      <c r="K10" s="32"/>
      <c r="L10" s="32"/>
      <c r="M10" s="32"/>
      <c r="N10" s="32"/>
      <c r="O10" s="32"/>
      <c r="P10" s="32"/>
      <c r="Q10" s="32"/>
      <c r="R10" s="32"/>
      <c r="S10" s="32"/>
      <c r="T10" s="32"/>
      <c r="U10" s="32"/>
      <c r="V10" s="32"/>
      <c r="W10" s="32"/>
      <c r="X10" s="26"/>
      <c r="Y10" s="22"/>
      <c r="Z10" s="20"/>
    </row>
    <row r="11" spans="1:26" ht="15" customHeight="1" x14ac:dyDescent="0.25">
      <c r="A11" s="20"/>
      <c r="B11" s="22"/>
      <c r="C11" s="29"/>
      <c r="D11" s="32"/>
      <c r="E11" s="33"/>
      <c r="F11" s="32"/>
      <c r="G11" s="32"/>
      <c r="H11" s="32"/>
      <c r="I11" s="32"/>
      <c r="J11" s="32"/>
      <c r="K11" s="32"/>
      <c r="L11" s="32"/>
      <c r="M11" s="32"/>
      <c r="N11" s="32"/>
      <c r="O11" s="32"/>
      <c r="P11" s="32"/>
      <c r="Q11" s="32"/>
      <c r="R11" s="32"/>
      <c r="S11" s="32"/>
      <c r="T11" s="32"/>
      <c r="U11" s="32"/>
      <c r="V11" s="32"/>
      <c r="W11" s="32"/>
      <c r="X11" s="26"/>
      <c r="Y11" s="22"/>
      <c r="Z11" s="20"/>
    </row>
    <row r="12" spans="1:26" x14ac:dyDescent="0.25">
      <c r="A12" s="20"/>
      <c r="B12" s="22"/>
      <c r="C12" s="29"/>
      <c r="D12" s="32"/>
      <c r="E12" s="33"/>
      <c r="F12" s="37"/>
      <c r="G12" s="35"/>
      <c r="H12" s="35"/>
      <c r="I12" s="35"/>
      <c r="J12" s="36"/>
      <c r="K12" s="32"/>
      <c r="L12" s="37" t="s">
        <v>22</v>
      </c>
      <c r="M12" s="35"/>
      <c r="N12" s="35"/>
      <c r="O12" s="35"/>
      <c r="P12" s="36"/>
      <c r="Q12" s="32"/>
      <c r="R12" s="103" t="s">
        <v>23</v>
      </c>
      <c r="S12" s="45"/>
      <c r="T12" s="45"/>
      <c r="U12" s="104"/>
      <c r="V12" s="32"/>
      <c r="W12" s="32"/>
      <c r="X12" s="26"/>
      <c r="Y12" s="22"/>
      <c r="Z12" s="20"/>
    </row>
    <row r="13" spans="1:26" ht="15" customHeight="1" x14ac:dyDescent="0.25">
      <c r="A13" s="20"/>
      <c r="B13" s="22"/>
      <c r="C13" s="29"/>
      <c r="D13" s="32"/>
      <c r="E13" s="33"/>
      <c r="F13" s="264" t="s">
        <v>2</v>
      </c>
      <c r="G13" s="265"/>
      <c r="H13" s="266"/>
      <c r="I13" s="271">
        <v>7.875</v>
      </c>
      <c r="J13" s="273" t="s">
        <v>6</v>
      </c>
      <c r="K13" s="32"/>
      <c r="L13" s="258" t="s">
        <v>9</v>
      </c>
      <c r="M13" s="259"/>
      <c r="N13" s="252">
        <f>I107</f>
        <v>53.15</v>
      </c>
      <c r="O13" s="245" t="s">
        <v>12</v>
      </c>
      <c r="P13" s="246"/>
      <c r="Q13" s="32"/>
      <c r="R13" s="122"/>
      <c r="S13" s="242" t="s">
        <v>97</v>
      </c>
      <c r="T13" s="243"/>
      <c r="U13" s="244"/>
      <c r="V13" s="32"/>
      <c r="W13" s="32"/>
      <c r="X13" s="26"/>
      <c r="Y13" s="22"/>
      <c r="Z13" s="20"/>
    </row>
    <row r="14" spans="1:26" ht="15" customHeight="1" x14ac:dyDescent="0.25">
      <c r="A14" s="20"/>
      <c r="B14" s="22"/>
      <c r="C14" s="29"/>
      <c r="D14" s="32"/>
      <c r="E14" s="33"/>
      <c r="F14" s="267"/>
      <c r="G14" s="226"/>
      <c r="H14" s="227"/>
      <c r="I14" s="272"/>
      <c r="J14" s="256"/>
      <c r="K14" s="32"/>
      <c r="L14" s="260"/>
      <c r="M14" s="261"/>
      <c r="N14" s="253"/>
      <c r="O14" s="228"/>
      <c r="P14" s="247"/>
      <c r="Q14" s="32"/>
      <c r="R14" s="123"/>
      <c r="S14" s="223"/>
      <c r="T14" s="225"/>
      <c r="U14" s="233"/>
      <c r="V14" s="32"/>
      <c r="W14" s="32"/>
      <c r="X14" s="26"/>
      <c r="Y14" s="22"/>
      <c r="Z14" s="20"/>
    </row>
    <row r="15" spans="1:26" ht="15" customHeight="1" x14ac:dyDescent="0.25">
      <c r="A15" s="20"/>
      <c r="B15" s="22"/>
      <c r="C15" s="29"/>
      <c r="D15" s="32"/>
      <c r="E15" s="33"/>
      <c r="F15" s="267" t="s">
        <v>3</v>
      </c>
      <c r="G15" s="226"/>
      <c r="H15" s="227"/>
      <c r="I15" s="274">
        <v>8000</v>
      </c>
      <c r="J15" s="256" t="s">
        <v>7</v>
      </c>
      <c r="K15" s="32"/>
      <c r="L15" s="41"/>
      <c r="M15" s="32"/>
      <c r="N15" s="32"/>
      <c r="O15" s="32"/>
      <c r="P15" s="39"/>
      <c r="Q15" s="32"/>
      <c r="R15" s="41"/>
      <c r="S15" s="80"/>
      <c r="T15" s="80"/>
      <c r="U15" s="105"/>
      <c r="V15" s="32"/>
      <c r="W15" s="32"/>
      <c r="X15" s="26"/>
      <c r="Y15" s="22"/>
      <c r="Z15" s="20"/>
    </row>
    <row r="16" spans="1:26" ht="15" customHeight="1" x14ac:dyDescent="0.25">
      <c r="A16" s="20"/>
      <c r="B16" s="22"/>
      <c r="C16" s="29"/>
      <c r="D16" s="32"/>
      <c r="E16" s="33"/>
      <c r="F16" s="267"/>
      <c r="G16" s="226"/>
      <c r="H16" s="227"/>
      <c r="I16" s="275"/>
      <c r="J16" s="256"/>
      <c r="K16" s="32"/>
      <c r="L16" s="260" t="s">
        <v>10</v>
      </c>
      <c r="M16" s="261"/>
      <c r="N16" s="252">
        <f>$Q$126</f>
        <v>59.816754384960007</v>
      </c>
      <c r="O16" s="228" t="s">
        <v>13</v>
      </c>
      <c r="P16" s="247"/>
      <c r="Q16" s="32"/>
      <c r="R16" s="38"/>
      <c r="S16" s="223" t="s">
        <v>20</v>
      </c>
      <c r="T16" s="225"/>
      <c r="U16" s="233"/>
      <c r="V16" s="32"/>
      <c r="W16" s="32"/>
      <c r="X16" s="26"/>
      <c r="Y16" s="22"/>
      <c r="Z16" s="20"/>
    </row>
    <row r="17" spans="1:26" ht="15" customHeight="1" x14ac:dyDescent="0.25">
      <c r="A17" s="20"/>
      <c r="B17" s="22"/>
      <c r="C17" s="29"/>
      <c r="D17" s="32"/>
      <c r="E17" s="33"/>
      <c r="F17" s="267" t="s">
        <v>4</v>
      </c>
      <c r="G17" s="226"/>
      <c r="H17" s="227"/>
      <c r="I17" s="276">
        <v>0.15</v>
      </c>
      <c r="J17" s="256"/>
      <c r="K17" s="32"/>
      <c r="L17" s="260"/>
      <c r="M17" s="261"/>
      <c r="N17" s="253"/>
      <c r="O17" s="228"/>
      <c r="P17" s="247"/>
      <c r="Q17" s="32"/>
      <c r="R17" s="40"/>
      <c r="S17" s="223"/>
      <c r="T17" s="225"/>
      <c r="U17" s="233"/>
      <c r="V17" s="32"/>
      <c r="W17" s="32"/>
      <c r="X17" s="26"/>
      <c r="Y17" s="22"/>
      <c r="Z17" s="20"/>
    </row>
    <row r="18" spans="1:26" ht="15" customHeight="1" x14ac:dyDescent="0.25">
      <c r="A18" s="20"/>
      <c r="B18" s="22"/>
      <c r="C18" s="29"/>
      <c r="D18" s="32"/>
      <c r="E18" s="33"/>
      <c r="F18" s="267"/>
      <c r="G18" s="226"/>
      <c r="H18" s="227"/>
      <c r="I18" s="277"/>
      <c r="J18" s="256"/>
      <c r="K18" s="32"/>
      <c r="L18" s="41"/>
      <c r="M18" s="32"/>
      <c r="N18" s="35"/>
      <c r="O18" s="32"/>
      <c r="P18" s="39"/>
      <c r="Q18" s="32"/>
      <c r="R18" s="41"/>
      <c r="S18" s="32"/>
      <c r="T18" s="32"/>
      <c r="U18" s="39"/>
      <c r="V18" s="32"/>
      <c r="W18" s="32"/>
      <c r="X18" s="26"/>
      <c r="Y18" s="22"/>
      <c r="Z18" s="20"/>
    </row>
    <row r="19" spans="1:26" ht="15" customHeight="1" x14ac:dyDescent="0.25">
      <c r="A19" s="20"/>
      <c r="B19" s="22"/>
      <c r="C19" s="29"/>
      <c r="D19" s="32"/>
      <c r="E19" s="33"/>
      <c r="F19" s="267" t="s">
        <v>5</v>
      </c>
      <c r="G19" s="226"/>
      <c r="H19" s="227"/>
      <c r="I19" s="254">
        <v>20</v>
      </c>
      <c r="J19" s="256" t="s">
        <v>8</v>
      </c>
      <c r="K19" s="32"/>
      <c r="L19" s="260" t="s">
        <v>11</v>
      </c>
      <c r="M19" s="261"/>
      <c r="N19" s="250">
        <f>$I$160</f>
        <v>8727.9546215401333</v>
      </c>
      <c r="O19" s="228" t="str">
        <f>CONCATENATE("USD/ton ",H10)</f>
        <v>USD/ton Carvone</v>
      </c>
      <c r="P19" s="247"/>
      <c r="Q19" s="32"/>
      <c r="R19" s="42"/>
      <c r="S19" s="223" t="s">
        <v>21</v>
      </c>
      <c r="T19" s="225"/>
      <c r="U19" s="233"/>
      <c r="V19" s="32"/>
      <c r="W19" s="32"/>
      <c r="X19" s="26"/>
      <c r="Y19" s="22"/>
      <c r="Z19" s="20"/>
    </row>
    <row r="20" spans="1:26" ht="15" customHeight="1" x14ac:dyDescent="0.25">
      <c r="A20" s="20"/>
      <c r="B20" s="22"/>
      <c r="C20" s="29"/>
      <c r="D20" s="32"/>
      <c r="E20" s="33"/>
      <c r="F20" s="268"/>
      <c r="G20" s="269"/>
      <c r="H20" s="270"/>
      <c r="I20" s="255"/>
      <c r="J20" s="257"/>
      <c r="K20" s="32"/>
      <c r="L20" s="262"/>
      <c r="M20" s="263"/>
      <c r="N20" s="251"/>
      <c r="O20" s="248"/>
      <c r="P20" s="249"/>
      <c r="Q20" s="32"/>
      <c r="R20" s="43"/>
      <c r="S20" s="239"/>
      <c r="T20" s="240"/>
      <c r="U20" s="241"/>
      <c r="V20" s="32"/>
      <c r="W20" s="32"/>
      <c r="X20" s="26"/>
      <c r="Y20" s="22"/>
      <c r="Z20" s="20"/>
    </row>
    <row r="21" spans="1:26" ht="15" customHeight="1" x14ac:dyDescent="0.25">
      <c r="A21" s="20"/>
      <c r="B21" s="22"/>
      <c r="C21" s="29"/>
      <c r="D21" s="32"/>
      <c r="E21" s="32"/>
      <c r="F21" s="32"/>
      <c r="G21" s="32"/>
      <c r="H21" s="32"/>
      <c r="I21" s="32"/>
      <c r="J21" s="32"/>
      <c r="K21" s="32"/>
      <c r="L21" s="32"/>
      <c r="M21" s="32"/>
      <c r="N21" s="32"/>
      <c r="O21" s="32"/>
      <c r="P21" s="32"/>
      <c r="Q21" s="32"/>
      <c r="R21" s="32"/>
      <c r="S21" s="32"/>
      <c r="T21" s="32"/>
      <c r="U21" s="32"/>
      <c r="V21" s="32"/>
      <c r="W21" s="32"/>
      <c r="X21" s="26"/>
      <c r="Y21" s="22"/>
      <c r="Z21" s="20"/>
    </row>
    <row r="22" spans="1:26" ht="3.75" customHeight="1" thickBot="1" x14ac:dyDescent="0.3">
      <c r="A22" s="20"/>
      <c r="B22" s="26"/>
      <c r="C22" s="30"/>
      <c r="D22" s="24"/>
      <c r="E22" s="24"/>
      <c r="F22" s="24"/>
      <c r="G22" s="24"/>
      <c r="H22" s="24"/>
      <c r="I22" s="24"/>
      <c r="J22" s="24"/>
      <c r="K22" s="24"/>
      <c r="L22" s="24"/>
      <c r="M22" s="24"/>
      <c r="N22" s="24"/>
      <c r="O22" s="24"/>
      <c r="P22" s="24"/>
      <c r="Q22" s="24"/>
      <c r="R22" s="24"/>
      <c r="S22" s="24"/>
      <c r="T22" s="24"/>
      <c r="U22" s="24"/>
      <c r="V22" s="24"/>
      <c r="W22" s="24"/>
      <c r="X22" s="31"/>
      <c r="Y22" s="25"/>
      <c r="Z22" s="20"/>
    </row>
    <row r="23" spans="1:26" ht="3.75" customHeight="1" thickTop="1" x14ac:dyDescent="0.25">
      <c r="A23" s="20"/>
      <c r="B23" s="26"/>
      <c r="C23" s="25"/>
      <c r="D23" s="25"/>
      <c r="E23" s="25"/>
      <c r="F23" s="25"/>
      <c r="G23" s="25"/>
      <c r="H23" s="25"/>
      <c r="I23" s="25"/>
      <c r="J23" s="25"/>
      <c r="K23" s="25"/>
      <c r="L23" s="25"/>
      <c r="M23" s="25"/>
      <c r="N23" s="25"/>
      <c r="O23" s="25"/>
      <c r="P23" s="25"/>
      <c r="Q23" s="25"/>
      <c r="R23" s="25"/>
      <c r="S23" s="25"/>
      <c r="T23" s="25"/>
      <c r="U23" s="25"/>
      <c r="V23" s="25"/>
      <c r="W23" s="25"/>
      <c r="X23" s="26"/>
      <c r="Y23" s="25"/>
      <c r="Z23" s="20"/>
    </row>
    <row r="24" spans="1:26" ht="15" customHeight="1" x14ac:dyDescent="0.25">
      <c r="A24" s="20"/>
      <c r="B24" s="22"/>
      <c r="C24" s="29"/>
      <c r="D24" s="25"/>
      <c r="E24" s="25"/>
      <c r="F24" s="25"/>
      <c r="G24" s="25"/>
      <c r="H24" s="25"/>
      <c r="I24" s="25"/>
      <c r="J24" s="25"/>
      <c r="K24" s="25"/>
      <c r="L24" s="25"/>
      <c r="M24" s="25"/>
      <c r="N24" s="25"/>
      <c r="O24" s="25"/>
      <c r="P24" s="25"/>
      <c r="Q24" s="25"/>
      <c r="R24" s="25"/>
      <c r="S24" s="25"/>
      <c r="T24" s="25"/>
      <c r="U24" s="25"/>
      <c r="V24" s="25"/>
      <c r="W24" s="25"/>
      <c r="X24" s="26"/>
      <c r="Y24" s="22"/>
      <c r="Z24" s="20"/>
    </row>
    <row r="25" spans="1:26" ht="15" customHeight="1" x14ac:dyDescent="0.25">
      <c r="A25" s="20"/>
      <c r="B25" s="22"/>
      <c r="C25" s="29"/>
      <c r="D25" s="27" t="s">
        <v>15</v>
      </c>
      <c r="E25" s="25"/>
      <c r="F25" s="25"/>
      <c r="G25" s="25"/>
      <c r="H25" s="25"/>
      <c r="I25" s="25"/>
      <c r="J25" s="25"/>
      <c r="K25" s="25"/>
      <c r="L25" s="25"/>
      <c r="M25" s="25"/>
      <c r="N25" s="25"/>
      <c r="O25" s="25"/>
      <c r="P25" s="25"/>
      <c r="Q25" s="25"/>
      <c r="R25" s="25"/>
      <c r="S25" s="25"/>
      <c r="T25" s="25"/>
      <c r="U25" s="25"/>
      <c r="V25" s="25"/>
      <c r="W25" s="25"/>
      <c r="X25" s="26"/>
      <c r="Y25" s="22"/>
      <c r="Z25" s="20"/>
    </row>
    <row r="26" spans="1:26" ht="15" customHeight="1" x14ac:dyDescent="0.25">
      <c r="A26" s="20"/>
      <c r="B26" s="26"/>
      <c r="C26" s="25"/>
      <c r="D26" s="25"/>
      <c r="E26" s="25"/>
      <c r="F26" s="25"/>
      <c r="G26" s="25"/>
      <c r="H26" s="25"/>
      <c r="I26" s="25"/>
      <c r="J26" s="25"/>
      <c r="K26" s="25"/>
      <c r="L26" s="25"/>
      <c r="M26" s="25"/>
      <c r="N26" s="25"/>
      <c r="O26" s="25"/>
      <c r="P26" s="25"/>
      <c r="Q26" s="25"/>
      <c r="R26" s="25"/>
      <c r="S26" s="25"/>
      <c r="T26" s="25"/>
      <c r="U26" s="25"/>
      <c r="V26" s="25"/>
      <c r="W26" s="25"/>
      <c r="X26" s="26"/>
      <c r="Y26" s="22"/>
      <c r="Z26" s="20"/>
    </row>
    <row r="27" spans="1:26" ht="3.75" customHeight="1" thickBot="1" x14ac:dyDescent="0.3">
      <c r="A27" s="20"/>
      <c r="B27" s="26"/>
      <c r="C27" s="30"/>
      <c r="D27" s="24"/>
      <c r="E27" s="24"/>
      <c r="F27" s="24"/>
      <c r="G27" s="24"/>
      <c r="H27" s="24"/>
      <c r="I27" s="24"/>
      <c r="J27" s="24"/>
      <c r="K27" s="24"/>
      <c r="L27" s="24"/>
      <c r="M27" s="24"/>
      <c r="N27" s="24"/>
      <c r="O27" s="24"/>
      <c r="P27" s="24"/>
      <c r="Q27" s="24"/>
      <c r="R27" s="24"/>
      <c r="S27" s="24"/>
      <c r="T27" s="24"/>
      <c r="U27" s="24"/>
      <c r="V27" s="24"/>
      <c r="W27" s="24"/>
      <c r="X27" s="31"/>
      <c r="Y27" s="25"/>
      <c r="Z27" s="20"/>
    </row>
    <row r="28" spans="1:26" ht="3.75" customHeight="1" thickTop="1" x14ac:dyDescent="0.25">
      <c r="A28" s="20"/>
      <c r="B28" s="26"/>
      <c r="C28" s="25"/>
      <c r="D28" s="25"/>
      <c r="E28" s="25"/>
      <c r="F28" s="25"/>
      <c r="G28" s="25"/>
      <c r="H28" s="25"/>
      <c r="I28" s="25"/>
      <c r="J28" s="25"/>
      <c r="K28" s="25"/>
      <c r="L28" s="25"/>
      <c r="M28" s="25"/>
      <c r="N28" s="25"/>
      <c r="O28" s="25"/>
      <c r="P28" s="25"/>
      <c r="Q28" s="25"/>
      <c r="R28" s="25"/>
      <c r="S28" s="25"/>
      <c r="T28" s="25"/>
      <c r="U28" s="25"/>
      <c r="V28" s="25"/>
      <c r="W28" s="25"/>
      <c r="X28" s="26"/>
      <c r="Y28" s="25"/>
      <c r="Z28" s="20"/>
    </row>
    <row r="29" spans="1:26" ht="15" customHeight="1" x14ac:dyDescent="0.25">
      <c r="A29" s="20"/>
      <c r="B29" s="26"/>
      <c r="C29" s="25"/>
      <c r="D29" s="27" t="s">
        <v>14</v>
      </c>
      <c r="E29" s="25"/>
      <c r="F29" s="25"/>
      <c r="G29" s="25"/>
      <c r="H29" s="25"/>
      <c r="I29" s="25"/>
      <c r="J29" s="25"/>
      <c r="K29" s="25"/>
      <c r="L29" s="25"/>
      <c r="M29" s="25"/>
      <c r="N29" s="25"/>
      <c r="O29" s="25"/>
      <c r="P29" s="25"/>
      <c r="Q29" s="25"/>
      <c r="R29" s="25"/>
      <c r="S29" s="25"/>
      <c r="T29" s="25"/>
      <c r="U29" s="25"/>
      <c r="V29" s="25"/>
      <c r="W29" s="25"/>
      <c r="X29" s="26"/>
      <c r="Y29" s="22"/>
      <c r="Z29" s="20"/>
    </row>
    <row r="30" spans="1:26" ht="15" customHeight="1" x14ac:dyDescent="0.25">
      <c r="A30" s="20"/>
      <c r="B30" s="22"/>
      <c r="C30" s="29"/>
      <c r="D30" s="32"/>
      <c r="E30" s="32"/>
      <c r="F30" s="44"/>
      <c r="G30" s="44"/>
      <c r="H30" s="44"/>
      <c r="I30" s="44"/>
      <c r="J30" s="44"/>
      <c r="K30" s="44"/>
      <c r="L30" s="32"/>
      <c r="M30" s="32"/>
      <c r="N30" s="32"/>
      <c r="O30" s="32"/>
      <c r="P30" s="32"/>
      <c r="Q30" s="32"/>
      <c r="R30" s="32"/>
      <c r="S30" s="32"/>
      <c r="T30" s="32"/>
      <c r="U30" s="32"/>
      <c r="V30" s="32"/>
      <c r="W30" s="32"/>
      <c r="X30" s="26"/>
      <c r="Y30" s="22"/>
      <c r="Z30" s="20"/>
    </row>
    <row r="31" spans="1:26" ht="15" customHeight="1" x14ac:dyDescent="0.25">
      <c r="A31" s="20"/>
      <c r="B31" s="22"/>
      <c r="C31" s="29"/>
      <c r="D31" s="32"/>
      <c r="E31" s="33"/>
      <c r="F31" s="243" t="s">
        <v>16</v>
      </c>
      <c r="G31" s="32"/>
      <c r="H31" s="32"/>
      <c r="I31" s="225" t="s">
        <v>17</v>
      </c>
      <c r="J31" s="225"/>
      <c r="K31" s="32"/>
      <c r="L31" s="243" t="s">
        <v>18</v>
      </c>
      <c r="M31" s="243"/>
      <c r="N31" s="243"/>
      <c r="O31" s="243" t="s">
        <v>19</v>
      </c>
      <c r="P31" s="243"/>
      <c r="Q31" s="45" t="s">
        <v>25</v>
      </c>
      <c r="R31" s="45"/>
      <c r="S31" s="45" t="str">
        <f>CONCATENATE("Cost/ton of ",H10)</f>
        <v>Cost/ton of Carvone</v>
      </c>
      <c r="T31" s="45"/>
      <c r="U31" s="45" t="s">
        <v>27</v>
      </c>
      <c r="V31" s="32"/>
      <c r="W31" s="32"/>
      <c r="X31" s="26"/>
      <c r="Y31" s="22"/>
      <c r="Z31" s="20"/>
    </row>
    <row r="32" spans="1:26" ht="15" customHeight="1" x14ac:dyDescent="0.25">
      <c r="A32" s="20"/>
      <c r="B32" s="22"/>
      <c r="C32" s="29"/>
      <c r="D32" s="32"/>
      <c r="E32" s="33"/>
      <c r="F32" s="240"/>
      <c r="G32" s="44"/>
      <c r="H32" s="44"/>
      <c r="I32" s="240"/>
      <c r="J32" s="240"/>
      <c r="K32" s="44"/>
      <c r="L32" s="240"/>
      <c r="M32" s="240"/>
      <c r="N32" s="240"/>
      <c r="O32" s="240"/>
      <c r="P32" s="240"/>
      <c r="Q32" s="32" t="s">
        <v>24</v>
      </c>
      <c r="R32" s="32"/>
      <c r="S32" s="32" t="s">
        <v>26</v>
      </c>
      <c r="T32" s="32"/>
      <c r="U32" s="32" t="s">
        <v>42</v>
      </c>
      <c r="V32" s="32"/>
      <c r="W32" s="32"/>
      <c r="X32" s="26"/>
      <c r="Y32" s="22"/>
      <c r="Z32" s="20"/>
    </row>
    <row r="33" spans="1:26" ht="15" customHeight="1" x14ac:dyDescent="0.25">
      <c r="A33" s="20"/>
      <c r="B33" s="22"/>
      <c r="C33" s="29"/>
      <c r="D33" s="32"/>
      <c r="E33" s="33"/>
      <c r="F33" s="32" t="str">
        <f>IF(Base!F33="","",Base!F33)</f>
        <v>Limonene</v>
      </c>
      <c r="G33" s="32"/>
      <c r="H33" s="32"/>
      <c r="I33" s="174">
        <v>6100</v>
      </c>
      <c r="J33" s="32" t="str">
        <f>IF(P33="","",CONCATENATE("USD/",IF(OR(RIGHT(P33,2)="/h",RIGHT(P33,2)="/s"),LEFT(P33,LEN(P33)-2),IF(P33="kW","kWh",P33))))</f>
        <v>USD/ton</v>
      </c>
      <c r="K33" s="32"/>
      <c r="L33" s="175">
        <f>IF(Base!L33=0,"",Base!L33)</f>
        <v>0.95238095238095233</v>
      </c>
      <c r="M33" s="46" t="str">
        <f>IF(P33="","",CONCATENATE(IF(OR(RIGHT(P33,2)="/h",RIGHT(P33,2)="/s"),LEFT(P33,LEN(P33)-2),IF(P33="kW","kWh",P33)),"/ton ",$H$10))</f>
        <v>ton/ton Carvone</v>
      </c>
      <c r="N33" s="32"/>
      <c r="O33" s="47">
        <f>IF(L33="","",1000*$I$13*L33/IF(RIGHT(P33,1)="s",3600*($I$15),$I$15))</f>
        <v>0.9375</v>
      </c>
      <c r="P33" s="46" t="str">
        <f>IF(Base!P33=0,"",Base!P33)</f>
        <v>ton/h</v>
      </c>
      <c r="Q33" s="212">
        <f>IF(O33="","",I33*O33*IF(RIGHT(P33,1)="s",3600*($I$15),$I$15)/1000000)</f>
        <v>45.75</v>
      </c>
      <c r="R33" s="212"/>
      <c r="S33" s="213">
        <f>IF(L33="","",L33*I33)</f>
        <v>5809.5238095238092</v>
      </c>
      <c r="T33" s="214"/>
      <c r="U33" s="48">
        <f>IF(S33="","",S33/$S$41*100)</f>
        <v>99.331086615701849</v>
      </c>
      <c r="V33" s="32"/>
      <c r="W33" s="32"/>
      <c r="X33" s="26"/>
      <c r="Y33" s="22"/>
      <c r="Z33" s="20"/>
    </row>
    <row r="34" spans="1:26" ht="15" customHeight="1" x14ac:dyDescent="0.25">
      <c r="A34" s="20"/>
      <c r="B34" s="22"/>
      <c r="C34" s="29"/>
      <c r="D34" s="32"/>
      <c r="E34" s="33"/>
      <c r="F34" s="32" t="str">
        <f>IF(Base!F34="","",Base!F34)</f>
        <v>Nutrients</v>
      </c>
      <c r="G34" s="32"/>
      <c r="H34" s="32"/>
      <c r="I34" s="16">
        <v>0.71899999999999997</v>
      </c>
      <c r="J34" s="32" t="str">
        <f t="shared" ref="J34:J35" si="0">IF(P34="","",CONCATENATE("USD/",IF(OR(RIGHT(P34,2)="/h",RIGHT(P34,2)="/s"),LEFT(P34,LEN(P34)-2),IF(P34="kW","kWh",P34))))</f>
        <v>USD/kg</v>
      </c>
      <c r="K34" s="32"/>
      <c r="L34" s="175">
        <f>IF(Base!L34=0,"",Base!L34)</f>
        <v>52.937142857142859</v>
      </c>
      <c r="M34" s="46" t="str">
        <f t="shared" ref="M34:M35" si="1">IF(P34="","",CONCATENATE(IF(OR(RIGHT(P34,2)="/h",RIGHT(P34,2)="/s"),LEFT(P34,LEN(P34)-2),IF(P34="kW","kWh",P34)),"/ton ",$H$10))</f>
        <v>kg/ton Carvone</v>
      </c>
      <c r="N34" s="32"/>
      <c r="O34" s="47">
        <f t="shared" ref="O34:O35" si="2">IF(L34="","",1000*$I$13*L34/IF(RIGHT(P34,1)="s",3600*($I$15),$I$15))</f>
        <v>52.11</v>
      </c>
      <c r="P34" s="46" t="str">
        <f>IF(Base!P34=0,"",Base!P34)</f>
        <v>kg/h</v>
      </c>
      <c r="Q34" s="212">
        <f t="shared" ref="Q34:Q35" si="3">IF(O34="","",I34*O34*IF(RIGHT(P34,1)="s",3600*($I$15),$I$15)/1000000)</f>
        <v>0.29973671999999996</v>
      </c>
      <c r="R34" s="212"/>
      <c r="S34" s="213">
        <f t="shared" ref="S34:S39" si="4">IF(L34="","",L34*I34)</f>
        <v>38.061805714285711</v>
      </c>
      <c r="T34" s="214"/>
      <c r="U34" s="48">
        <f t="shared" ref="U34:U39" si="5">IF(S34="","",S34/$S$41*100)</f>
        <v>0.65077976166615026</v>
      </c>
      <c r="V34" s="32"/>
      <c r="W34" s="32"/>
      <c r="X34" s="26"/>
      <c r="Y34" s="22"/>
      <c r="Z34" s="20"/>
    </row>
    <row r="35" spans="1:26" ht="15" customHeight="1" x14ac:dyDescent="0.25">
      <c r="A35" s="20"/>
      <c r="B35" s="22"/>
      <c r="C35" s="29"/>
      <c r="D35" s="32"/>
      <c r="E35" s="33"/>
      <c r="F35" s="32" t="str">
        <f>IF(Base!F35="","",Base!F35)</f>
        <v>n-Hexadecane</v>
      </c>
      <c r="G35" s="32"/>
      <c r="H35" s="32"/>
      <c r="I35" s="16">
        <v>2.9</v>
      </c>
      <c r="J35" s="32" t="str">
        <f t="shared" si="0"/>
        <v>USD/kg</v>
      </c>
      <c r="K35" s="32"/>
      <c r="L35" s="175">
        <f>IF(Base!L35=0,"",Base!L35)</f>
        <v>0.36571428571428571</v>
      </c>
      <c r="M35" s="46" t="str">
        <f t="shared" si="1"/>
        <v>kg/ton Carvone</v>
      </c>
      <c r="N35" s="32"/>
      <c r="O35" s="47">
        <f t="shared" si="2"/>
        <v>0.36</v>
      </c>
      <c r="P35" s="46" t="str">
        <f>IF(Base!P35=0,"",Base!P35)</f>
        <v>kg/h</v>
      </c>
      <c r="Q35" s="212">
        <f t="shared" si="3"/>
        <v>8.352E-3</v>
      </c>
      <c r="R35" s="212"/>
      <c r="S35" s="213">
        <f t="shared" si="4"/>
        <v>1.0605714285714285</v>
      </c>
      <c r="T35" s="214"/>
      <c r="U35" s="48">
        <f t="shared" si="5"/>
        <v>1.8133622632007473E-2</v>
      </c>
      <c r="V35" s="32"/>
      <c r="W35" s="32"/>
      <c r="X35" s="26"/>
      <c r="Y35" s="22"/>
      <c r="Z35" s="20"/>
    </row>
    <row r="36" spans="1:26" ht="15" hidden="1" customHeight="1" x14ac:dyDescent="0.25">
      <c r="A36" s="20"/>
      <c r="B36" s="22"/>
      <c r="C36" s="29"/>
      <c r="D36" s="32"/>
      <c r="E36" s="33"/>
      <c r="F36" s="32" t="str">
        <f>IF(Base!F36="","",Base!F36)</f>
        <v/>
      </c>
      <c r="G36" s="32"/>
      <c r="H36" s="32"/>
      <c r="I36" s="16"/>
      <c r="J36" s="32"/>
      <c r="K36" s="32"/>
      <c r="L36" s="175" t="str">
        <f>IF(Base!L36=0,"",Base!L36)</f>
        <v/>
      </c>
      <c r="M36" s="46"/>
      <c r="N36" s="32"/>
      <c r="O36" s="47"/>
      <c r="P36" s="46" t="str">
        <f>IF(Base!P36=0,"",Base!P36)</f>
        <v/>
      </c>
      <c r="Q36" s="212"/>
      <c r="R36" s="212"/>
      <c r="S36" s="213" t="str">
        <f t="shared" si="4"/>
        <v/>
      </c>
      <c r="T36" s="214"/>
      <c r="U36" s="48" t="str">
        <f t="shared" si="5"/>
        <v/>
      </c>
      <c r="V36" s="32"/>
      <c r="W36" s="32"/>
      <c r="X36" s="26"/>
      <c r="Y36" s="22"/>
      <c r="Z36" s="20"/>
    </row>
    <row r="37" spans="1:26" ht="15" hidden="1" customHeight="1" x14ac:dyDescent="0.25">
      <c r="A37" s="20"/>
      <c r="B37" s="22"/>
      <c r="C37" s="29"/>
      <c r="D37" s="32"/>
      <c r="E37" s="33"/>
      <c r="F37" s="32" t="str">
        <f>IF(Base!F37="","",Base!F37)</f>
        <v/>
      </c>
      <c r="G37" s="32"/>
      <c r="H37" s="32"/>
      <c r="I37" s="16"/>
      <c r="J37" s="32"/>
      <c r="K37" s="32"/>
      <c r="L37" s="175" t="str">
        <f>IF(Base!L37=0,"",Base!L37)</f>
        <v/>
      </c>
      <c r="M37" s="46"/>
      <c r="N37" s="32"/>
      <c r="O37" s="47"/>
      <c r="P37" s="46" t="str">
        <f>IF(Base!P37=0,"",Base!P37)</f>
        <v/>
      </c>
      <c r="Q37" s="212"/>
      <c r="R37" s="212"/>
      <c r="S37" s="213" t="str">
        <f t="shared" si="4"/>
        <v/>
      </c>
      <c r="T37" s="214"/>
      <c r="U37" s="48" t="str">
        <f t="shared" si="5"/>
        <v/>
      </c>
      <c r="V37" s="32"/>
      <c r="W37" s="32"/>
      <c r="X37" s="26"/>
      <c r="Y37" s="22"/>
      <c r="Z37" s="20"/>
    </row>
    <row r="38" spans="1:26" ht="15" hidden="1" customHeight="1" x14ac:dyDescent="0.25">
      <c r="A38" s="20"/>
      <c r="B38" s="22"/>
      <c r="C38" s="29"/>
      <c r="D38" s="32"/>
      <c r="E38" s="33"/>
      <c r="F38" s="32" t="str">
        <f>IF(Base!F38="","",Base!F38)</f>
        <v/>
      </c>
      <c r="G38" s="32"/>
      <c r="H38" s="32"/>
      <c r="I38" s="16"/>
      <c r="J38" s="32"/>
      <c r="K38" s="32"/>
      <c r="L38" s="175" t="str">
        <f>IF(Base!L38=0,"",Base!L38)</f>
        <v/>
      </c>
      <c r="M38" s="46"/>
      <c r="N38" s="32"/>
      <c r="O38" s="47"/>
      <c r="P38" s="46" t="str">
        <f>IF(Base!P38=0,"",Base!P38)</f>
        <v/>
      </c>
      <c r="Q38" s="212"/>
      <c r="R38" s="212"/>
      <c r="S38" s="213" t="str">
        <f t="shared" si="4"/>
        <v/>
      </c>
      <c r="T38" s="214"/>
      <c r="U38" s="48" t="str">
        <f t="shared" si="5"/>
        <v/>
      </c>
      <c r="V38" s="32"/>
      <c r="W38" s="32"/>
      <c r="X38" s="26"/>
      <c r="Y38" s="22"/>
      <c r="Z38" s="20"/>
    </row>
    <row r="39" spans="1:26" ht="15" hidden="1" customHeight="1" x14ac:dyDescent="0.25">
      <c r="A39" s="20"/>
      <c r="B39" s="22"/>
      <c r="C39" s="29"/>
      <c r="D39" s="32"/>
      <c r="E39" s="33"/>
      <c r="F39" s="32" t="str">
        <f>IF(Base!F39="","",Base!F39)</f>
        <v/>
      </c>
      <c r="G39" s="32"/>
      <c r="H39" s="32"/>
      <c r="I39" s="16"/>
      <c r="J39" s="32"/>
      <c r="K39" s="32"/>
      <c r="L39" s="175" t="str">
        <f>IF(Base!L39=0,"",Base!L39)</f>
        <v/>
      </c>
      <c r="M39" s="46"/>
      <c r="N39" s="32"/>
      <c r="O39" s="47"/>
      <c r="P39" s="46" t="str">
        <f>IF(Base!P39=0,"",Base!P39)</f>
        <v/>
      </c>
      <c r="Q39" s="212"/>
      <c r="R39" s="212"/>
      <c r="S39" s="213" t="str">
        <f t="shared" si="4"/>
        <v/>
      </c>
      <c r="T39" s="214"/>
      <c r="U39" s="48" t="str">
        <f t="shared" si="5"/>
        <v/>
      </c>
      <c r="V39" s="32"/>
      <c r="W39" s="32"/>
      <c r="X39" s="26"/>
      <c r="Y39" s="22"/>
      <c r="Z39" s="20"/>
    </row>
    <row r="40" spans="1:26" ht="15" customHeight="1" x14ac:dyDescent="0.25">
      <c r="A40" s="20"/>
      <c r="B40" s="22"/>
      <c r="C40" s="29"/>
      <c r="D40" s="32"/>
      <c r="E40" s="33"/>
      <c r="F40" s="32"/>
      <c r="G40" s="32"/>
      <c r="H40" s="32"/>
      <c r="I40" s="32"/>
      <c r="J40" s="32"/>
      <c r="K40" s="32"/>
      <c r="L40" s="32"/>
      <c r="M40" s="32"/>
      <c r="N40" s="32"/>
      <c r="O40" s="32"/>
      <c r="P40" s="32"/>
      <c r="Q40" s="218" t="s">
        <v>29</v>
      </c>
      <c r="R40" s="218"/>
      <c r="S40" s="219" t="s">
        <v>29</v>
      </c>
      <c r="T40" s="220"/>
      <c r="U40" s="49" t="s">
        <v>29</v>
      </c>
      <c r="V40" s="32"/>
      <c r="W40" s="32"/>
      <c r="X40" s="26"/>
      <c r="Y40" s="22"/>
      <c r="Z40" s="20"/>
    </row>
    <row r="41" spans="1:26" ht="15" customHeight="1" x14ac:dyDescent="0.25">
      <c r="A41" s="20"/>
      <c r="B41" s="22"/>
      <c r="C41" s="29"/>
      <c r="D41" s="32"/>
      <c r="E41" s="33"/>
      <c r="F41" s="32"/>
      <c r="G41" s="32"/>
      <c r="H41" s="32"/>
      <c r="I41" s="32"/>
      <c r="J41" s="32"/>
      <c r="K41" s="32"/>
      <c r="L41" s="32"/>
      <c r="M41" s="32"/>
      <c r="N41" s="32"/>
      <c r="O41" s="32"/>
      <c r="P41" s="32"/>
      <c r="Q41" s="212">
        <f>SUM(Q33:R39)</f>
        <v>46.058088720000001</v>
      </c>
      <c r="R41" s="212"/>
      <c r="S41" s="213">
        <f>SUM(S33:T39)</f>
        <v>5848.6461866666659</v>
      </c>
      <c r="T41" s="214"/>
      <c r="U41" s="50">
        <f>SUM(U33:U39)</f>
        <v>100</v>
      </c>
      <c r="V41" s="32"/>
      <c r="W41" s="32"/>
      <c r="X41" s="26"/>
      <c r="Y41" s="22"/>
      <c r="Z41" s="20"/>
    </row>
    <row r="42" spans="1:26" ht="15" customHeight="1" x14ac:dyDescent="0.25">
      <c r="A42" s="20"/>
      <c r="B42" s="22"/>
      <c r="C42" s="29"/>
      <c r="D42" s="32"/>
      <c r="E42" s="32"/>
      <c r="F42" s="32"/>
      <c r="G42" s="32"/>
      <c r="H42" s="32"/>
      <c r="I42" s="32"/>
      <c r="J42" s="32"/>
      <c r="K42" s="32"/>
      <c r="L42" s="32"/>
      <c r="M42" s="32"/>
      <c r="N42" s="32"/>
      <c r="O42" s="32"/>
      <c r="P42" s="32"/>
      <c r="Q42" s="32"/>
      <c r="R42" s="32"/>
      <c r="S42" s="32"/>
      <c r="T42" s="32"/>
      <c r="U42" s="32"/>
      <c r="V42" s="32"/>
      <c r="W42" s="32"/>
      <c r="X42" s="26"/>
      <c r="Y42" s="22"/>
      <c r="Z42" s="20"/>
    </row>
    <row r="43" spans="1:26" ht="15" customHeight="1" x14ac:dyDescent="0.25">
      <c r="A43" s="20"/>
      <c r="B43" s="22"/>
      <c r="C43" s="29"/>
      <c r="D43" s="27" t="s">
        <v>28</v>
      </c>
      <c r="E43" s="25"/>
      <c r="F43" s="25"/>
      <c r="G43" s="25"/>
      <c r="H43" s="25"/>
      <c r="I43" s="25"/>
      <c r="J43" s="25"/>
      <c r="K43" s="25"/>
      <c r="L43" s="25"/>
      <c r="M43" s="25"/>
      <c r="N43" s="25"/>
      <c r="O43" s="25"/>
      <c r="P43" s="25"/>
      <c r="Q43" s="25"/>
      <c r="R43" s="25"/>
      <c r="S43" s="25"/>
      <c r="T43" s="25"/>
      <c r="U43" s="25"/>
      <c r="V43" s="25"/>
      <c r="W43" s="25"/>
      <c r="X43" s="26"/>
      <c r="Y43" s="22"/>
      <c r="Z43" s="20"/>
    </row>
    <row r="44" spans="1:26" ht="15" customHeight="1" x14ac:dyDescent="0.25">
      <c r="A44" s="20"/>
      <c r="B44" s="22"/>
      <c r="C44" s="29"/>
      <c r="D44" s="32"/>
      <c r="E44" s="32"/>
      <c r="F44" s="32"/>
      <c r="G44" s="32"/>
      <c r="H44" s="32"/>
      <c r="I44" s="32"/>
      <c r="J44" s="44"/>
      <c r="K44" s="44"/>
      <c r="L44" s="32"/>
      <c r="M44" s="32"/>
      <c r="N44" s="32"/>
      <c r="O44" s="32"/>
      <c r="P44" s="32"/>
      <c r="Q44" s="32"/>
      <c r="R44" s="32"/>
      <c r="S44" s="32"/>
      <c r="T44" s="32"/>
      <c r="U44" s="32"/>
      <c r="V44" s="32"/>
      <c r="W44" s="32"/>
      <c r="X44" s="26"/>
      <c r="Y44" s="22"/>
      <c r="Z44" s="20"/>
    </row>
    <row r="45" spans="1:26" ht="15" customHeight="1" x14ac:dyDescent="0.25">
      <c r="A45" s="20"/>
      <c r="B45" s="22"/>
      <c r="C45" s="29"/>
      <c r="D45" s="32"/>
      <c r="E45" s="33"/>
      <c r="F45" s="243" t="s">
        <v>28</v>
      </c>
      <c r="G45" s="45"/>
      <c r="H45" s="45"/>
      <c r="I45" s="243" t="s">
        <v>17</v>
      </c>
      <c r="J45" s="243"/>
      <c r="K45" s="32"/>
      <c r="L45" s="243" t="s">
        <v>18</v>
      </c>
      <c r="M45" s="243"/>
      <c r="N45" s="243"/>
      <c r="O45" s="243" t="s">
        <v>19</v>
      </c>
      <c r="P45" s="243"/>
      <c r="Q45" s="45" t="s">
        <v>25</v>
      </c>
      <c r="R45" s="45"/>
      <c r="S45" s="45" t="str">
        <f>CONCATENATE("Cost/ton of ",H10)</f>
        <v>Cost/ton of Carvone</v>
      </c>
      <c r="T45" s="45"/>
      <c r="U45" s="45" t="s">
        <v>27</v>
      </c>
      <c r="V45" s="32"/>
      <c r="W45" s="32"/>
      <c r="X45" s="26"/>
      <c r="Y45" s="22"/>
      <c r="Z45" s="20"/>
    </row>
    <row r="46" spans="1:26" ht="15" customHeight="1" x14ac:dyDescent="0.25">
      <c r="A46" s="20"/>
      <c r="B46" s="22"/>
      <c r="C46" s="29"/>
      <c r="D46" s="32"/>
      <c r="E46" s="33"/>
      <c r="F46" s="240"/>
      <c r="G46" s="44"/>
      <c r="H46" s="44"/>
      <c r="I46" s="240"/>
      <c r="J46" s="240"/>
      <c r="K46" s="44"/>
      <c r="L46" s="240"/>
      <c r="M46" s="240"/>
      <c r="N46" s="240"/>
      <c r="O46" s="240"/>
      <c r="P46" s="240"/>
      <c r="Q46" s="44" t="s">
        <v>24</v>
      </c>
      <c r="R46" s="44"/>
      <c r="S46" s="44" t="s">
        <v>26</v>
      </c>
      <c r="T46" s="44"/>
      <c r="U46" s="44" t="s">
        <v>42</v>
      </c>
      <c r="V46" s="32"/>
      <c r="W46" s="32"/>
      <c r="X46" s="26"/>
      <c r="Y46" s="22"/>
      <c r="Z46" s="20"/>
    </row>
    <row r="47" spans="1:26" ht="15" customHeight="1" x14ac:dyDescent="0.25">
      <c r="A47" s="20"/>
      <c r="B47" s="22"/>
      <c r="C47" s="29"/>
      <c r="D47" s="32"/>
      <c r="E47" s="33"/>
      <c r="F47" s="32" t="str">
        <f>IF(Base!F47="","",Base!F47)</f>
        <v>Cooling water</v>
      </c>
      <c r="G47" s="32"/>
      <c r="H47" s="32"/>
      <c r="I47" s="174">
        <v>0.04</v>
      </c>
      <c r="J47" s="32" t="str">
        <f>IF(P47="","",CONCATENATE("USD/",IF(OR(RIGHT(P47,2)="/h",RIGHT(P47,2)="/s"),LEFT(P47,LEN(P47)-2),IF(P47="kW","kWh",P47))))</f>
        <v>USD/ton</v>
      </c>
      <c r="K47" s="32"/>
      <c r="L47" s="175">
        <f>IF(Base!L47=0,"",Base!L47)</f>
        <v>62.509714285714288</v>
      </c>
      <c r="M47" s="46" t="str">
        <f>IF(P47="","",CONCATENATE(IF(OR(RIGHT(P47,2)="/h",RIGHT(P47,2)="/s"),LEFT(P47,LEN(P47)-2),IF(P47="kW","kWh",P47)),"/ton ",$H$10))</f>
        <v>ton/ton Carvone</v>
      </c>
      <c r="N47" s="32"/>
      <c r="O47" s="47">
        <f>IF(L47="","",1000*$I$13*L47/IF(RIGHT(P47,1)="s",3600*($I$15),$I$15))</f>
        <v>61.533000000000001</v>
      </c>
      <c r="P47" s="46" t="str">
        <f>IF(Base!P47=0,"",Base!P47)</f>
        <v>ton/h</v>
      </c>
      <c r="Q47" s="212">
        <f>IF(O47="","",I47*O47*IF(RIGHT(P47,1)="s",3600*($I$15),$I$15)/1000000)</f>
        <v>1.9690560000000003E-2</v>
      </c>
      <c r="R47" s="212"/>
      <c r="S47" s="213">
        <f>IF(L47="","",L47*I47)</f>
        <v>2.5003885714285716</v>
      </c>
      <c r="T47" s="214"/>
      <c r="U47" s="48">
        <f>IF(S47="","",S47/$S$55*100)</f>
        <v>0.9963191582687464</v>
      </c>
      <c r="V47" s="32"/>
      <c r="W47" s="32"/>
      <c r="X47" s="26"/>
      <c r="Y47" s="22"/>
      <c r="Z47" s="20"/>
    </row>
    <row r="48" spans="1:26" ht="15" customHeight="1" x14ac:dyDescent="0.25">
      <c r="A48" s="20"/>
      <c r="B48" s="22"/>
      <c r="C48" s="29"/>
      <c r="D48" s="32"/>
      <c r="E48" s="33"/>
      <c r="F48" s="32" t="str">
        <f>IF(Base!F48="","",Base!F48)</f>
        <v>Steam</v>
      </c>
      <c r="G48" s="32"/>
      <c r="H48" s="32"/>
      <c r="I48" s="174">
        <v>35</v>
      </c>
      <c r="J48" s="32" t="str">
        <f t="shared" ref="J48:J50" si="6">IF(P48="","",CONCATENATE("USD/",IF(OR(RIGHT(P48,2)="/h",RIGHT(P48,2)="/s"),LEFT(P48,LEN(P48)-2),IF(P48="kW","kWh",P48))))</f>
        <v>USD/ton</v>
      </c>
      <c r="K48" s="32"/>
      <c r="L48" s="175">
        <f>IF(Base!L48=0,"",Base!L48)</f>
        <v>1.0849523809523811</v>
      </c>
      <c r="M48" s="46" t="str">
        <f t="shared" ref="M48:M50" si="7">IF(P48="","",CONCATENATE(IF(OR(RIGHT(P48,2)="/h",RIGHT(P48,2)="/s"),LEFT(P48,LEN(P48)-2),IF(P48="kW","kWh",P48)),"/ton ",$H$10))</f>
        <v>ton/ton Carvone</v>
      </c>
      <c r="N48" s="32"/>
      <c r="O48" s="47">
        <f t="shared" ref="O48:O50" si="8">IF(L48="","",1000*$I$13*L48/IF(RIGHT(P48,1)="s",3600*($I$15),$I$15))</f>
        <v>1.0680000000000003</v>
      </c>
      <c r="P48" s="46" t="str">
        <f>IF(Base!P48=0,"",Base!P48)</f>
        <v>ton/h</v>
      </c>
      <c r="Q48" s="212">
        <f t="shared" ref="Q48:Q50" si="9">IF(O48="","",I48*O48*IF(RIGHT(P48,1)="s",3600*($I$15),$I$15)/1000000)</f>
        <v>0.29904000000000008</v>
      </c>
      <c r="R48" s="212"/>
      <c r="S48" s="213">
        <f t="shared" ref="S48:S53" si="10">IF(L48="","",L48*I48)</f>
        <v>37.973333333333336</v>
      </c>
      <c r="T48" s="214"/>
      <c r="U48" s="48">
        <f t="shared" ref="U48:U53" si="11">IF(S48="","",S48/$S$55*100)</f>
        <v>15.131072000424869</v>
      </c>
      <c r="V48" s="32"/>
      <c r="W48" s="32"/>
      <c r="X48" s="26"/>
      <c r="Y48" s="22"/>
      <c r="Z48" s="20"/>
    </row>
    <row r="49" spans="1:26" ht="15" customHeight="1" x14ac:dyDescent="0.25">
      <c r="A49" s="20"/>
      <c r="B49" s="22"/>
      <c r="C49" s="29"/>
      <c r="D49" s="32"/>
      <c r="E49" s="33"/>
      <c r="F49" s="32" t="str">
        <f>IF(Base!F49="","",Base!F49)</f>
        <v>Electricity</v>
      </c>
      <c r="G49" s="32"/>
      <c r="H49" s="32"/>
      <c r="I49" s="174">
        <v>7.0000000000000007E-2</v>
      </c>
      <c r="J49" s="32" t="str">
        <f t="shared" si="6"/>
        <v>USD/kWh</v>
      </c>
      <c r="K49" s="32"/>
      <c r="L49" s="175">
        <f>IF(Base!L49=0,"",Base!L49)</f>
        <v>3006.9841269841268</v>
      </c>
      <c r="M49" s="46" t="str">
        <f t="shared" si="7"/>
        <v>kWh/ton Carvone</v>
      </c>
      <c r="N49" s="32"/>
      <c r="O49" s="47">
        <f t="shared" si="8"/>
        <v>2960</v>
      </c>
      <c r="P49" s="46" t="str">
        <f>IF(Base!P49=0,"",Base!P49)</f>
        <v>kW</v>
      </c>
      <c r="Q49" s="212">
        <f t="shared" si="9"/>
        <v>1.6576000000000002</v>
      </c>
      <c r="R49" s="212"/>
      <c r="S49" s="213">
        <f t="shared" si="10"/>
        <v>210.48888888888888</v>
      </c>
      <c r="T49" s="214"/>
      <c r="U49" s="48">
        <f t="shared" si="11"/>
        <v>83.872608841306388</v>
      </c>
      <c r="V49" s="32"/>
      <c r="W49" s="32"/>
      <c r="X49" s="26"/>
      <c r="Y49" s="22"/>
      <c r="Z49" s="20"/>
    </row>
    <row r="50" spans="1:26" ht="15" hidden="1" customHeight="1" x14ac:dyDescent="0.25">
      <c r="A50" s="20"/>
      <c r="B50" s="22"/>
      <c r="C50" s="29"/>
      <c r="D50" s="32"/>
      <c r="E50" s="33"/>
      <c r="F50" s="32" t="str">
        <f>IF(Base!F50="","",Base!F50)</f>
        <v/>
      </c>
      <c r="G50" s="32"/>
      <c r="H50" s="32"/>
      <c r="I50" s="174"/>
      <c r="J50" s="32" t="str">
        <f t="shared" si="6"/>
        <v/>
      </c>
      <c r="K50" s="32"/>
      <c r="L50" s="175" t="str">
        <f>IF(Base!L50=0,"",Base!L50)</f>
        <v/>
      </c>
      <c r="M50" s="46" t="str">
        <f t="shared" si="7"/>
        <v/>
      </c>
      <c r="N50" s="32"/>
      <c r="O50" s="47" t="str">
        <f t="shared" si="8"/>
        <v/>
      </c>
      <c r="P50" s="46" t="str">
        <f>IF(Base!P50=0,"",Base!P50)</f>
        <v/>
      </c>
      <c r="Q50" s="212" t="str">
        <f t="shared" si="9"/>
        <v/>
      </c>
      <c r="R50" s="212"/>
      <c r="S50" s="213" t="str">
        <f t="shared" si="10"/>
        <v/>
      </c>
      <c r="T50" s="214"/>
      <c r="U50" s="48" t="str">
        <f t="shared" si="11"/>
        <v/>
      </c>
      <c r="V50" s="32"/>
      <c r="W50" s="32"/>
      <c r="X50" s="26"/>
      <c r="Y50" s="22"/>
      <c r="Z50" s="20"/>
    </row>
    <row r="51" spans="1:26" ht="15" hidden="1" customHeight="1" x14ac:dyDescent="0.25">
      <c r="A51" s="20"/>
      <c r="B51" s="22"/>
      <c r="C51" s="29"/>
      <c r="D51" s="32"/>
      <c r="E51" s="33"/>
      <c r="F51" s="32" t="str">
        <f>IF(Base!F51="","",Base!F51)</f>
        <v/>
      </c>
      <c r="G51" s="32"/>
      <c r="H51" s="32"/>
      <c r="I51" s="174"/>
      <c r="J51" s="32"/>
      <c r="K51" s="32"/>
      <c r="L51" s="175" t="str">
        <f>IF(Base!L51=0,"",Base!L51)</f>
        <v/>
      </c>
      <c r="M51" s="46"/>
      <c r="N51" s="32"/>
      <c r="O51" s="47"/>
      <c r="P51" s="46" t="str">
        <f>IF(Base!P51=0,"",Base!P51)</f>
        <v/>
      </c>
      <c r="Q51" s="212"/>
      <c r="R51" s="212"/>
      <c r="S51" s="213" t="str">
        <f t="shared" si="10"/>
        <v/>
      </c>
      <c r="T51" s="214"/>
      <c r="U51" s="48" t="str">
        <f t="shared" si="11"/>
        <v/>
      </c>
      <c r="V51" s="32"/>
      <c r="W51" s="32"/>
      <c r="X51" s="26"/>
      <c r="Y51" s="22"/>
      <c r="Z51" s="20"/>
    </row>
    <row r="52" spans="1:26" ht="15" hidden="1" customHeight="1" x14ac:dyDescent="0.25">
      <c r="A52" s="20"/>
      <c r="B52" s="22"/>
      <c r="C52" s="29"/>
      <c r="D52" s="32"/>
      <c r="E52" s="33"/>
      <c r="F52" s="32" t="str">
        <f>IF(Base!F52="","",Base!F52)</f>
        <v/>
      </c>
      <c r="G52" s="32"/>
      <c r="H52" s="32"/>
      <c r="I52" s="174"/>
      <c r="J52" s="32"/>
      <c r="K52" s="32"/>
      <c r="L52" s="175" t="str">
        <f>IF(Base!L52=0,"",Base!L52)</f>
        <v/>
      </c>
      <c r="M52" s="46"/>
      <c r="N52" s="32"/>
      <c r="O52" s="47"/>
      <c r="P52" s="46" t="str">
        <f>IF(Base!P52=0,"",Base!P52)</f>
        <v/>
      </c>
      <c r="Q52" s="212"/>
      <c r="R52" s="212"/>
      <c r="S52" s="213" t="str">
        <f t="shared" si="10"/>
        <v/>
      </c>
      <c r="T52" s="214"/>
      <c r="U52" s="48" t="str">
        <f t="shared" si="11"/>
        <v/>
      </c>
      <c r="V52" s="32"/>
      <c r="W52" s="32"/>
      <c r="X52" s="26"/>
      <c r="Y52" s="22"/>
      <c r="Z52" s="20"/>
    </row>
    <row r="53" spans="1:26" ht="15" hidden="1" customHeight="1" x14ac:dyDescent="0.25">
      <c r="A53" s="20"/>
      <c r="B53" s="22"/>
      <c r="C53" s="29"/>
      <c r="D53" s="32"/>
      <c r="E53" s="33"/>
      <c r="F53" s="32" t="str">
        <f>IF(Base!F53="","",Base!F53)</f>
        <v/>
      </c>
      <c r="G53" s="32"/>
      <c r="H53" s="32"/>
      <c r="I53" s="174"/>
      <c r="J53" s="32"/>
      <c r="K53" s="32"/>
      <c r="L53" s="175" t="str">
        <f>IF(Base!L53=0,"",Base!L53)</f>
        <v/>
      </c>
      <c r="M53" s="46"/>
      <c r="N53" s="32"/>
      <c r="O53" s="47"/>
      <c r="P53" s="46" t="str">
        <f>IF(Base!P53=0,"",Base!P53)</f>
        <v/>
      </c>
      <c r="Q53" s="212"/>
      <c r="R53" s="212"/>
      <c r="S53" s="213" t="str">
        <f t="shared" si="10"/>
        <v/>
      </c>
      <c r="T53" s="214"/>
      <c r="U53" s="48" t="str">
        <f t="shared" si="11"/>
        <v/>
      </c>
      <c r="V53" s="32"/>
      <c r="W53" s="32"/>
      <c r="X53" s="26"/>
      <c r="Y53" s="22"/>
      <c r="Z53" s="20"/>
    </row>
    <row r="54" spans="1:26" ht="15" customHeight="1" x14ac:dyDescent="0.25">
      <c r="A54" s="20"/>
      <c r="B54" s="22"/>
      <c r="C54" s="29"/>
      <c r="D54" s="32"/>
      <c r="E54" s="33"/>
      <c r="F54" s="32"/>
      <c r="G54" s="32"/>
      <c r="H54" s="32"/>
      <c r="I54" s="32"/>
      <c r="J54" s="32"/>
      <c r="K54" s="32"/>
      <c r="L54" s="32"/>
      <c r="M54" s="32"/>
      <c r="N54" s="32"/>
      <c r="O54" s="32"/>
      <c r="P54" s="39"/>
      <c r="Q54" s="218" t="s">
        <v>29</v>
      </c>
      <c r="R54" s="218"/>
      <c r="S54" s="219" t="s">
        <v>29</v>
      </c>
      <c r="T54" s="220"/>
      <c r="U54" s="49" t="s">
        <v>29</v>
      </c>
      <c r="V54" s="32"/>
      <c r="W54" s="32"/>
      <c r="X54" s="26"/>
      <c r="Y54" s="22"/>
      <c r="Z54" s="20"/>
    </row>
    <row r="55" spans="1:26" ht="15" customHeight="1" x14ac:dyDescent="0.25">
      <c r="A55" s="20"/>
      <c r="B55" s="22"/>
      <c r="C55" s="29"/>
      <c r="D55" s="32"/>
      <c r="E55" s="33"/>
      <c r="F55" s="32"/>
      <c r="G55" s="32"/>
      <c r="H55" s="32"/>
      <c r="I55" s="51"/>
      <c r="J55" s="32"/>
      <c r="K55" s="32"/>
      <c r="L55" s="32"/>
      <c r="M55" s="32"/>
      <c r="N55" s="32"/>
      <c r="O55" s="32"/>
      <c r="P55" s="32"/>
      <c r="Q55" s="212">
        <f>SUM(Q47:R53)</f>
        <v>1.9763305600000003</v>
      </c>
      <c r="R55" s="212"/>
      <c r="S55" s="213">
        <f>SUM(S47:T53)</f>
        <v>250.96261079365078</v>
      </c>
      <c r="T55" s="214"/>
      <c r="U55" s="50">
        <f>SUM(U47:U53)</f>
        <v>100</v>
      </c>
      <c r="V55" s="32"/>
      <c r="W55" s="32"/>
      <c r="X55" s="26"/>
      <c r="Y55" s="22"/>
      <c r="Z55" s="20"/>
    </row>
    <row r="56" spans="1:26" ht="15" customHeight="1" x14ac:dyDescent="0.25">
      <c r="A56" s="20"/>
      <c r="B56" s="22"/>
      <c r="C56" s="29"/>
      <c r="D56" s="32"/>
      <c r="E56" s="32"/>
      <c r="F56" s="32"/>
      <c r="G56" s="32"/>
      <c r="H56" s="32"/>
      <c r="I56" s="32"/>
      <c r="J56" s="32"/>
      <c r="K56" s="32"/>
      <c r="L56" s="32"/>
      <c r="M56" s="32"/>
      <c r="N56" s="32"/>
      <c r="O56" s="32"/>
      <c r="P56" s="32"/>
      <c r="Q56" s="32"/>
      <c r="R56" s="32"/>
      <c r="S56" s="32"/>
      <c r="T56" s="32"/>
      <c r="U56" s="32"/>
      <c r="V56" s="32"/>
      <c r="W56" s="32"/>
      <c r="X56" s="26"/>
      <c r="Y56" s="22"/>
      <c r="Z56" s="20"/>
    </row>
    <row r="57" spans="1:26" ht="15" hidden="1" customHeight="1" x14ac:dyDescent="0.25">
      <c r="A57" s="20"/>
      <c r="B57" s="22"/>
      <c r="C57" s="29"/>
      <c r="D57" s="27" t="s">
        <v>30</v>
      </c>
      <c r="E57" s="25"/>
      <c r="F57" s="25"/>
      <c r="G57" s="25"/>
      <c r="H57" s="25"/>
      <c r="I57" s="25"/>
      <c r="J57" s="25"/>
      <c r="K57" s="25"/>
      <c r="L57" s="25"/>
      <c r="M57" s="25"/>
      <c r="N57" s="25"/>
      <c r="O57" s="25"/>
      <c r="P57" s="25"/>
      <c r="Q57" s="25"/>
      <c r="R57" s="25"/>
      <c r="S57" s="25"/>
      <c r="T57" s="25"/>
      <c r="U57" s="25"/>
      <c r="V57" s="25"/>
      <c r="W57" s="25"/>
      <c r="X57" s="26"/>
      <c r="Y57" s="22"/>
      <c r="Z57" s="20"/>
    </row>
    <row r="58" spans="1:26" ht="15" hidden="1" customHeight="1" x14ac:dyDescent="0.25">
      <c r="A58" s="20"/>
      <c r="B58" s="22"/>
      <c r="C58" s="29"/>
      <c r="D58" s="32"/>
      <c r="E58" s="32"/>
      <c r="F58" s="32"/>
      <c r="G58" s="32"/>
      <c r="H58" s="32"/>
      <c r="I58" s="32"/>
      <c r="J58" s="44"/>
      <c r="K58" s="44"/>
      <c r="L58" s="32"/>
      <c r="M58" s="32"/>
      <c r="N58" s="32"/>
      <c r="O58" s="32"/>
      <c r="P58" s="32"/>
      <c r="Q58" s="32"/>
      <c r="R58" s="32"/>
      <c r="S58" s="32"/>
      <c r="T58" s="32"/>
      <c r="U58" s="32"/>
      <c r="V58" s="32"/>
      <c r="W58" s="32"/>
      <c r="X58" s="26"/>
      <c r="Y58" s="22"/>
      <c r="Z58" s="20"/>
    </row>
    <row r="59" spans="1:26" ht="15" hidden="1" customHeight="1" x14ac:dyDescent="0.25">
      <c r="A59" s="20"/>
      <c r="B59" s="22"/>
      <c r="C59" s="29"/>
      <c r="D59" s="32"/>
      <c r="E59" s="33"/>
      <c r="F59" s="243" t="s">
        <v>30</v>
      </c>
      <c r="G59" s="243"/>
      <c r="H59" s="45"/>
      <c r="I59" s="243" t="s">
        <v>17</v>
      </c>
      <c r="J59" s="243"/>
      <c r="K59" s="32"/>
      <c r="L59" s="243" t="s">
        <v>18</v>
      </c>
      <c r="M59" s="243"/>
      <c r="N59" s="243"/>
      <c r="O59" s="243" t="s">
        <v>19</v>
      </c>
      <c r="P59" s="243"/>
      <c r="Q59" s="45" t="s">
        <v>69</v>
      </c>
      <c r="R59" s="45"/>
      <c r="S59" s="45" t="str">
        <f>CONCATENATE("Cost/ton of ",H10)</f>
        <v>Cost/ton of Carvone</v>
      </c>
      <c r="T59" s="45"/>
      <c r="U59" s="45" t="s">
        <v>27</v>
      </c>
      <c r="V59" s="32"/>
      <c r="W59" s="32"/>
      <c r="X59" s="26"/>
      <c r="Y59" s="22"/>
      <c r="Z59" s="20"/>
    </row>
    <row r="60" spans="1:26" ht="15" hidden="1" customHeight="1" x14ac:dyDescent="0.25">
      <c r="A60" s="20"/>
      <c r="B60" s="22"/>
      <c r="C60" s="29"/>
      <c r="D60" s="32"/>
      <c r="E60" s="33"/>
      <c r="F60" s="240"/>
      <c r="G60" s="240"/>
      <c r="H60" s="44"/>
      <c r="I60" s="240"/>
      <c r="J60" s="240"/>
      <c r="K60" s="44"/>
      <c r="L60" s="240"/>
      <c r="M60" s="240"/>
      <c r="N60" s="240"/>
      <c r="O60" s="240"/>
      <c r="P60" s="240"/>
      <c r="Q60" s="44" t="s">
        <v>24</v>
      </c>
      <c r="R60" s="44"/>
      <c r="S60" s="44" t="s">
        <v>26</v>
      </c>
      <c r="T60" s="44"/>
      <c r="U60" s="44" t="s">
        <v>42</v>
      </c>
      <c r="V60" s="32"/>
      <c r="W60" s="32"/>
      <c r="X60" s="26"/>
      <c r="Y60" s="22"/>
      <c r="Z60" s="20"/>
    </row>
    <row r="61" spans="1:26" ht="15" hidden="1" customHeight="1" x14ac:dyDescent="0.25">
      <c r="A61" s="20"/>
      <c r="B61" s="22"/>
      <c r="C61" s="29"/>
      <c r="D61" s="32"/>
      <c r="E61" s="33"/>
      <c r="F61" s="32" t="str">
        <f>IF(Base!F61="","",Base!F61)</f>
        <v/>
      </c>
      <c r="G61" s="32"/>
      <c r="H61" s="32"/>
      <c r="I61" s="174"/>
      <c r="J61" s="32" t="str">
        <f>IF(P61="","",CONCATENATE("USD/",IF(OR(RIGHT(P61,2)="/h",RIGHT(P61,2)="/s"),LEFT(P61,LEN(P61)-2),IF(P61="kW","kWh",P61))))</f>
        <v/>
      </c>
      <c r="K61" s="32"/>
      <c r="L61" s="175" t="str">
        <f>IF(Base!L61=0,"",Base!L61)</f>
        <v/>
      </c>
      <c r="M61" s="46" t="str">
        <f>IF(P61="","",CONCATENATE(IF(OR(RIGHT(P61,2)="/h",RIGHT(P61,2)="/s"),LEFT(P61,LEN(P61)-2),IF(P61="kW","kWh",P61)),"/ton ",$H$10))</f>
        <v/>
      </c>
      <c r="N61" s="32"/>
      <c r="O61" s="47" t="str">
        <f>IF(L61="","",1000*$I$13*L61/IF(RIGHT(P61,1)="s",3600*($I$15),$I$15))</f>
        <v/>
      </c>
      <c r="P61" s="46" t="str">
        <f>IF(Base!P61=0,"",Base!P61)</f>
        <v/>
      </c>
      <c r="Q61" s="212" t="str">
        <f>IF(O61="","",I61*O61*IF(RIGHT(P61,1)="s",3600*($I$15),$I$15)/1000000)</f>
        <v/>
      </c>
      <c r="R61" s="212"/>
      <c r="S61" s="213" t="str">
        <f>IF(L61="","",L61*I61)</f>
        <v/>
      </c>
      <c r="T61" s="214"/>
      <c r="U61" s="48" t="str">
        <f>IF(S61="","",S61/$S$69*100)</f>
        <v/>
      </c>
      <c r="V61" s="32"/>
      <c r="W61" s="32"/>
      <c r="X61" s="26"/>
      <c r="Y61" s="22"/>
      <c r="Z61" s="20"/>
    </row>
    <row r="62" spans="1:26" ht="15" hidden="1" customHeight="1" x14ac:dyDescent="0.25">
      <c r="A62" s="20"/>
      <c r="B62" s="22"/>
      <c r="C62" s="29"/>
      <c r="D62" s="32"/>
      <c r="E62" s="33"/>
      <c r="F62" s="32" t="str">
        <f>IF(Base!F62="","",Base!F62)</f>
        <v/>
      </c>
      <c r="G62" s="32"/>
      <c r="H62" s="32"/>
      <c r="I62" s="174"/>
      <c r="J62" s="32" t="str">
        <f t="shared" ref="J62:J67" si="12">IF(P62="","",CONCATENATE("USD/",IF(OR(RIGHT(P62,2)="/h",RIGHT(P62,2)="/s"),LEFT(P62,LEN(P62)-2),IF(P62="kW","kWh",P62))))</f>
        <v/>
      </c>
      <c r="K62" s="32"/>
      <c r="L62" s="175" t="str">
        <f>IF(Base!L62=0,"",Base!L62)</f>
        <v/>
      </c>
      <c r="M62" s="46" t="str">
        <f t="shared" ref="M62:M67" si="13">IF(P62="","",CONCATENATE(IF(OR(RIGHT(P62,2)="/h",RIGHT(P62,2)="/s"),LEFT(P62,LEN(P62)-2),IF(P62="kW","kWh",P62)),"/ton ",$H$10))</f>
        <v/>
      </c>
      <c r="N62" s="32"/>
      <c r="O62" s="47" t="str">
        <f t="shared" ref="O62:O67" si="14">IF(L62="","",1000*$I$13*L62/IF(RIGHT(P62,1)="s",3600*($I$15),$I$15))</f>
        <v/>
      </c>
      <c r="P62" s="46" t="str">
        <f>IF(Base!P62=0,"",Base!P62)</f>
        <v/>
      </c>
      <c r="Q62" s="212" t="str">
        <f t="shared" ref="Q62:Q67" si="15">IF(O62="","",I62*O62*IF(RIGHT(P62,1)="s",3600*($I$15),$I$15)/1000000)</f>
        <v/>
      </c>
      <c r="R62" s="212"/>
      <c r="S62" s="213" t="str">
        <f t="shared" ref="S62:S67" si="16">IF(L62="","",L62*I62)</f>
        <v/>
      </c>
      <c r="T62" s="214"/>
      <c r="U62" s="48" t="str">
        <f t="shared" ref="U62:U67" si="17">IF(S62="","",S62/$S$69*100)</f>
        <v/>
      </c>
      <c r="V62" s="32"/>
      <c r="W62" s="32"/>
      <c r="X62" s="26"/>
      <c r="Y62" s="22"/>
      <c r="Z62" s="20"/>
    </row>
    <row r="63" spans="1:26" ht="15" hidden="1" customHeight="1" x14ac:dyDescent="0.25">
      <c r="A63" s="20"/>
      <c r="B63" s="22"/>
      <c r="C63" s="29"/>
      <c r="D63" s="32"/>
      <c r="E63" s="33"/>
      <c r="F63" s="32" t="str">
        <f>IF(Base!F63="","",Base!F63)</f>
        <v/>
      </c>
      <c r="G63" s="32"/>
      <c r="H63" s="32"/>
      <c r="I63" s="174"/>
      <c r="J63" s="32" t="str">
        <f t="shared" si="12"/>
        <v/>
      </c>
      <c r="K63" s="32"/>
      <c r="L63" s="175" t="str">
        <f>IF(Base!L63=0,"",Base!L63)</f>
        <v/>
      </c>
      <c r="M63" s="46" t="str">
        <f t="shared" si="13"/>
        <v/>
      </c>
      <c r="N63" s="32"/>
      <c r="O63" s="47" t="str">
        <f t="shared" si="14"/>
        <v/>
      </c>
      <c r="P63" s="46" t="str">
        <f>IF(Base!P63=0,"",Base!P63)</f>
        <v/>
      </c>
      <c r="Q63" s="212" t="str">
        <f t="shared" si="15"/>
        <v/>
      </c>
      <c r="R63" s="212"/>
      <c r="S63" s="213" t="str">
        <f t="shared" si="16"/>
        <v/>
      </c>
      <c r="T63" s="214"/>
      <c r="U63" s="48" t="str">
        <f t="shared" si="17"/>
        <v/>
      </c>
      <c r="V63" s="32"/>
      <c r="W63" s="32"/>
      <c r="X63" s="26"/>
      <c r="Y63" s="22"/>
      <c r="Z63" s="20"/>
    </row>
    <row r="64" spans="1:26" ht="15" hidden="1" customHeight="1" x14ac:dyDescent="0.25">
      <c r="A64" s="20"/>
      <c r="B64" s="22"/>
      <c r="C64" s="29"/>
      <c r="D64" s="32"/>
      <c r="E64" s="33"/>
      <c r="F64" s="32" t="str">
        <f>IF(Base!F64="","",Base!F64)</f>
        <v/>
      </c>
      <c r="G64" s="32"/>
      <c r="H64" s="32"/>
      <c r="I64" s="174"/>
      <c r="J64" s="32" t="str">
        <f t="shared" si="12"/>
        <v/>
      </c>
      <c r="K64" s="32"/>
      <c r="L64" s="175" t="str">
        <f>IF(Base!L64=0,"",Base!L64)</f>
        <v/>
      </c>
      <c r="M64" s="46" t="str">
        <f t="shared" si="13"/>
        <v/>
      </c>
      <c r="N64" s="32"/>
      <c r="O64" s="47" t="str">
        <f t="shared" si="14"/>
        <v/>
      </c>
      <c r="P64" s="46" t="str">
        <f>IF(Base!P64=0,"",Base!P64)</f>
        <v/>
      </c>
      <c r="Q64" s="212" t="str">
        <f t="shared" si="15"/>
        <v/>
      </c>
      <c r="R64" s="212"/>
      <c r="S64" s="213" t="str">
        <f t="shared" si="16"/>
        <v/>
      </c>
      <c r="T64" s="214"/>
      <c r="U64" s="48" t="str">
        <f t="shared" si="17"/>
        <v/>
      </c>
      <c r="V64" s="32"/>
      <c r="W64" s="32"/>
      <c r="X64" s="26"/>
      <c r="Y64" s="22"/>
      <c r="Z64" s="20"/>
    </row>
    <row r="65" spans="1:26" ht="15" hidden="1" customHeight="1" x14ac:dyDescent="0.25">
      <c r="A65" s="20"/>
      <c r="B65" s="22"/>
      <c r="C65" s="29"/>
      <c r="D65" s="32"/>
      <c r="E65" s="33"/>
      <c r="F65" s="32" t="str">
        <f>IF(Base!F65="","",Base!F65)</f>
        <v/>
      </c>
      <c r="G65" s="32"/>
      <c r="H65" s="32"/>
      <c r="I65" s="174"/>
      <c r="J65" s="32" t="str">
        <f t="shared" si="12"/>
        <v/>
      </c>
      <c r="K65" s="32"/>
      <c r="L65" s="175" t="str">
        <f>IF(Base!L65=0,"",Base!L65)</f>
        <v/>
      </c>
      <c r="M65" s="46" t="str">
        <f t="shared" si="13"/>
        <v/>
      </c>
      <c r="N65" s="32"/>
      <c r="O65" s="47" t="str">
        <f t="shared" si="14"/>
        <v/>
      </c>
      <c r="P65" s="46" t="str">
        <f>IF(Base!P65=0,"",Base!P65)</f>
        <v/>
      </c>
      <c r="Q65" s="212" t="str">
        <f t="shared" si="15"/>
        <v/>
      </c>
      <c r="R65" s="212"/>
      <c r="S65" s="213" t="str">
        <f t="shared" si="16"/>
        <v/>
      </c>
      <c r="T65" s="214"/>
      <c r="U65" s="48" t="str">
        <f t="shared" si="17"/>
        <v/>
      </c>
      <c r="V65" s="32"/>
      <c r="W65" s="32"/>
      <c r="X65" s="26"/>
      <c r="Y65" s="22"/>
      <c r="Z65" s="20"/>
    </row>
    <row r="66" spans="1:26" ht="15" hidden="1" customHeight="1" x14ac:dyDescent="0.25">
      <c r="A66" s="20"/>
      <c r="B66" s="22"/>
      <c r="C66" s="29"/>
      <c r="D66" s="32"/>
      <c r="E66" s="33"/>
      <c r="F66" s="32" t="str">
        <f>IF(Base!F66="","",Base!F66)</f>
        <v/>
      </c>
      <c r="G66" s="32"/>
      <c r="H66" s="32"/>
      <c r="I66" s="174"/>
      <c r="J66" s="32" t="str">
        <f t="shared" si="12"/>
        <v/>
      </c>
      <c r="K66" s="32"/>
      <c r="L66" s="175" t="str">
        <f>IF(Base!L66=0,"",Base!L66)</f>
        <v/>
      </c>
      <c r="M66" s="46" t="str">
        <f t="shared" si="13"/>
        <v/>
      </c>
      <c r="N66" s="32"/>
      <c r="O66" s="47" t="str">
        <f t="shared" si="14"/>
        <v/>
      </c>
      <c r="P66" s="46" t="str">
        <f>IF(Base!P66=0,"",Base!P66)</f>
        <v/>
      </c>
      <c r="Q66" s="212" t="str">
        <f t="shared" si="15"/>
        <v/>
      </c>
      <c r="R66" s="212"/>
      <c r="S66" s="213" t="str">
        <f t="shared" si="16"/>
        <v/>
      </c>
      <c r="T66" s="214"/>
      <c r="U66" s="48" t="str">
        <f t="shared" si="17"/>
        <v/>
      </c>
      <c r="V66" s="32"/>
      <c r="W66" s="32"/>
      <c r="X66" s="26"/>
      <c r="Y66" s="22"/>
      <c r="Z66" s="20"/>
    </row>
    <row r="67" spans="1:26" ht="15" hidden="1" customHeight="1" x14ac:dyDescent="0.25">
      <c r="A67" s="20"/>
      <c r="B67" s="22"/>
      <c r="C67" s="29"/>
      <c r="D67" s="32"/>
      <c r="E67" s="33"/>
      <c r="F67" s="32" t="str">
        <f>IF(Base!F67="","",Base!F67)</f>
        <v/>
      </c>
      <c r="G67" s="32"/>
      <c r="H67" s="32"/>
      <c r="I67" s="174"/>
      <c r="J67" s="32" t="str">
        <f t="shared" si="12"/>
        <v/>
      </c>
      <c r="K67" s="32"/>
      <c r="L67" s="175" t="str">
        <f>IF(Base!L67=0,"",Base!L67)</f>
        <v/>
      </c>
      <c r="M67" s="46" t="str">
        <f t="shared" si="13"/>
        <v/>
      </c>
      <c r="N67" s="32"/>
      <c r="O67" s="47" t="str">
        <f t="shared" si="14"/>
        <v/>
      </c>
      <c r="P67" s="46" t="str">
        <f>IF(Base!P67=0,"",Base!P67)</f>
        <v/>
      </c>
      <c r="Q67" s="212" t="str">
        <f t="shared" si="15"/>
        <v/>
      </c>
      <c r="R67" s="212"/>
      <c r="S67" s="213" t="str">
        <f t="shared" si="16"/>
        <v/>
      </c>
      <c r="T67" s="214"/>
      <c r="U67" s="48" t="str">
        <f t="shared" si="17"/>
        <v/>
      </c>
      <c r="V67" s="32"/>
      <c r="W67" s="32"/>
      <c r="X67" s="26"/>
      <c r="Y67" s="22"/>
      <c r="Z67" s="20"/>
    </row>
    <row r="68" spans="1:26" ht="15" hidden="1" customHeight="1" x14ac:dyDescent="0.25">
      <c r="A68" s="20"/>
      <c r="B68" s="22"/>
      <c r="C68" s="29"/>
      <c r="D68" s="32"/>
      <c r="E68" s="33"/>
      <c r="F68" s="32"/>
      <c r="G68" s="32"/>
      <c r="H68" s="32"/>
      <c r="I68" s="32"/>
      <c r="J68" s="32"/>
      <c r="K68" s="32"/>
      <c r="L68" s="32"/>
      <c r="M68" s="32"/>
      <c r="N68" s="32"/>
      <c r="O68" s="32"/>
      <c r="P68" s="39"/>
      <c r="Q68" s="218" t="s">
        <v>29</v>
      </c>
      <c r="R68" s="218"/>
      <c r="S68" s="219" t="s">
        <v>29</v>
      </c>
      <c r="T68" s="220"/>
      <c r="U68" s="49" t="s">
        <v>29</v>
      </c>
      <c r="V68" s="32"/>
      <c r="W68" s="32"/>
      <c r="X68" s="26"/>
      <c r="Y68" s="22"/>
      <c r="Z68" s="20"/>
    </row>
    <row r="69" spans="1:26" ht="15" hidden="1" customHeight="1" x14ac:dyDescent="0.25">
      <c r="A69" s="20"/>
      <c r="B69" s="22"/>
      <c r="C69" s="29"/>
      <c r="D69" s="32"/>
      <c r="E69" s="33"/>
      <c r="F69" s="32"/>
      <c r="G69" s="32"/>
      <c r="H69" s="32"/>
      <c r="I69" s="32"/>
      <c r="J69" s="32"/>
      <c r="K69" s="32"/>
      <c r="L69" s="32"/>
      <c r="M69" s="32"/>
      <c r="N69" s="32"/>
      <c r="O69" s="32"/>
      <c r="P69" s="32"/>
      <c r="Q69" s="212">
        <f>SUM(Q61:R67)</f>
        <v>0</v>
      </c>
      <c r="R69" s="212"/>
      <c r="S69" s="213">
        <f>SUM(S61:T67)</f>
        <v>0</v>
      </c>
      <c r="T69" s="214"/>
      <c r="U69" s="50">
        <f>SUM(U61:U67)</f>
        <v>0</v>
      </c>
      <c r="V69" s="32"/>
      <c r="W69" s="32"/>
      <c r="X69" s="26"/>
      <c r="Y69" s="22"/>
      <c r="Z69" s="20"/>
    </row>
    <row r="70" spans="1:26" ht="15" hidden="1" customHeight="1" x14ac:dyDescent="0.25">
      <c r="A70" s="20"/>
      <c r="B70" s="22"/>
      <c r="C70" s="29"/>
      <c r="D70" s="32"/>
      <c r="E70" s="32"/>
      <c r="F70" s="32"/>
      <c r="G70" s="32"/>
      <c r="H70" s="32"/>
      <c r="I70" s="32"/>
      <c r="J70" s="32"/>
      <c r="K70" s="32"/>
      <c r="L70" s="32"/>
      <c r="M70" s="32"/>
      <c r="N70" s="32"/>
      <c r="O70" s="32"/>
      <c r="P70" s="32"/>
      <c r="Q70" s="32"/>
      <c r="R70" s="32"/>
      <c r="S70" s="32"/>
      <c r="T70" s="32"/>
      <c r="U70" s="32"/>
      <c r="V70" s="32"/>
      <c r="W70" s="32"/>
      <c r="X70" s="26"/>
      <c r="Y70" s="22"/>
      <c r="Z70" s="20"/>
    </row>
    <row r="71" spans="1:26" ht="3.75" customHeight="1" thickBot="1" x14ac:dyDescent="0.3">
      <c r="A71" s="20"/>
      <c r="B71" s="26"/>
      <c r="C71" s="30"/>
      <c r="D71" s="24"/>
      <c r="E71" s="24"/>
      <c r="F71" s="24"/>
      <c r="G71" s="24"/>
      <c r="H71" s="24"/>
      <c r="I71" s="24"/>
      <c r="J71" s="24"/>
      <c r="K71" s="24"/>
      <c r="L71" s="24"/>
      <c r="M71" s="24"/>
      <c r="N71" s="24"/>
      <c r="O71" s="24"/>
      <c r="P71" s="24"/>
      <c r="Q71" s="24"/>
      <c r="R71" s="24"/>
      <c r="S71" s="24"/>
      <c r="T71" s="24"/>
      <c r="U71" s="24"/>
      <c r="V71" s="24"/>
      <c r="W71" s="24"/>
      <c r="X71" s="31"/>
      <c r="Y71" s="25"/>
      <c r="Z71" s="20"/>
    </row>
    <row r="72" spans="1:26" ht="3.75" customHeight="1" thickTop="1" x14ac:dyDescent="0.25">
      <c r="A72" s="20"/>
      <c r="B72" s="22"/>
      <c r="C72" s="22"/>
      <c r="D72" s="22"/>
      <c r="E72" s="22"/>
      <c r="F72" s="22"/>
      <c r="G72" s="22"/>
      <c r="H72" s="22"/>
      <c r="I72" s="22"/>
      <c r="J72" s="22"/>
      <c r="K72" s="22"/>
      <c r="L72" s="22"/>
      <c r="M72" s="22"/>
      <c r="N72" s="22"/>
      <c r="O72" s="22"/>
      <c r="P72" s="22"/>
      <c r="Q72" s="22"/>
      <c r="R72" s="22"/>
      <c r="S72" s="22"/>
      <c r="T72" s="22"/>
      <c r="U72" s="22"/>
      <c r="V72" s="22"/>
      <c r="W72" s="22"/>
      <c r="X72" s="22"/>
      <c r="Y72" s="22"/>
      <c r="Z72" s="20"/>
    </row>
    <row r="73" spans="1:26" ht="7.5" customHeight="1" x14ac:dyDescent="0.25">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7.5" customHeight="1" x14ac:dyDescent="0.25">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3.75" customHeight="1" thickBot="1" x14ac:dyDescent="0.3">
      <c r="A75" s="20"/>
      <c r="B75" s="22"/>
      <c r="C75" s="24"/>
      <c r="D75" s="24"/>
      <c r="E75" s="24"/>
      <c r="F75" s="24"/>
      <c r="G75" s="24"/>
      <c r="H75" s="24"/>
      <c r="I75" s="24"/>
      <c r="J75" s="24"/>
      <c r="K75" s="24"/>
      <c r="L75" s="24"/>
      <c r="M75" s="24"/>
      <c r="N75" s="24"/>
      <c r="O75" s="24"/>
      <c r="P75" s="24"/>
      <c r="Q75" s="24"/>
      <c r="R75" s="24"/>
      <c r="S75" s="24"/>
      <c r="T75" s="24"/>
      <c r="U75" s="24"/>
      <c r="V75" s="24"/>
      <c r="W75" s="24"/>
      <c r="X75" s="24"/>
      <c r="Y75" s="22"/>
      <c r="Z75" s="20"/>
    </row>
    <row r="76" spans="1:26" ht="3.75" customHeight="1" thickTop="1" x14ac:dyDescent="0.25">
      <c r="A76" s="20"/>
      <c r="B76" s="26"/>
      <c r="C76" s="25"/>
      <c r="D76" s="25"/>
      <c r="E76" s="25"/>
      <c r="F76" s="25"/>
      <c r="G76" s="25"/>
      <c r="H76" s="25"/>
      <c r="I76" s="25"/>
      <c r="J76" s="25"/>
      <c r="K76" s="25"/>
      <c r="L76" s="25"/>
      <c r="M76" s="25"/>
      <c r="N76" s="25"/>
      <c r="O76" s="25"/>
      <c r="P76" s="25"/>
      <c r="Q76" s="25"/>
      <c r="R76" s="25"/>
      <c r="S76" s="25"/>
      <c r="T76" s="25"/>
      <c r="U76" s="25"/>
      <c r="V76" s="25"/>
      <c r="W76" s="25"/>
      <c r="X76" s="26"/>
      <c r="Y76" s="25"/>
      <c r="Z76" s="20"/>
    </row>
    <row r="77" spans="1:26" ht="15" customHeight="1" x14ac:dyDescent="0.25">
      <c r="A77" s="20"/>
      <c r="B77" s="22"/>
      <c r="C77" s="29"/>
      <c r="D77" s="25"/>
      <c r="E77" s="25"/>
      <c r="F77" s="25"/>
      <c r="G77" s="25"/>
      <c r="H77" s="25"/>
      <c r="I77" s="25"/>
      <c r="J77" s="25"/>
      <c r="K77" s="25"/>
      <c r="L77" s="25"/>
      <c r="M77" s="25"/>
      <c r="N77" s="25"/>
      <c r="O77" s="25"/>
      <c r="P77" s="25"/>
      <c r="Q77" s="25"/>
      <c r="R77" s="25"/>
      <c r="S77" s="25"/>
      <c r="T77" s="25"/>
      <c r="U77" s="25"/>
      <c r="V77" s="25"/>
      <c r="W77" s="25"/>
      <c r="X77" s="26"/>
      <c r="Y77" s="22"/>
      <c r="Z77" s="20"/>
    </row>
    <row r="78" spans="1:26" ht="15" customHeight="1" x14ac:dyDescent="0.25">
      <c r="A78" s="20"/>
      <c r="B78" s="22"/>
      <c r="C78" s="29"/>
      <c r="D78" s="27" t="s">
        <v>31</v>
      </c>
      <c r="E78" s="25"/>
      <c r="F78" s="25"/>
      <c r="G78" s="25"/>
      <c r="H78" s="25"/>
      <c r="I78" s="25"/>
      <c r="J78" s="25"/>
      <c r="K78" s="25"/>
      <c r="L78" s="25"/>
      <c r="M78" s="25"/>
      <c r="N78" s="25"/>
      <c r="O78" s="25"/>
      <c r="P78" s="25"/>
      <c r="Q78" s="25"/>
      <c r="R78" s="25"/>
      <c r="S78" s="25"/>
      <c r="T78" s="25"/>
      <c r="U78" s="25"/>
      <c r="V78" s="25"/>
      <c r="W78" s="25"/>
      <c r="X78" s="26"/>
      <c r="Y78" s="22"/>
      <c r="Z78" s="20"/>
    </row>
    <row r="79" spans="1:26" ht="15" customHeight="1" x14ac:dyDescent="0.25">
      <c r="A79" s="20"/>
      <c r="B79" s="26"/>
      <c r="C79" s="25"/>
      <c r="D79" s="25"/>
      <c r="E79" s="25"/>
      <c r="F79" s="25"/>
      <c r="G79" s="25"/>
      <c r="H79" s="25"/>
      <c r="I79" s="25"/>
      <c r="J79" s="25"/>
      <c r="K79" s="25"/>
      <c r="L79" s="25"/>
      <c r="M79" s="25"/>
      <c r="N79" s="25"/>
      <c r="O79" s="25"/>
      <c r="P79" s="25"/>
      <c r="Q79" s="25"/>
      <c r="R79" s="25"/>
      <c r="S79" s="25"/>
      <c r="T79" s="25"/>
      <c r="U79" s="25"/>
      <c r="V79" s="25"/>
      <c r="W79" s="25"/>
      <c r="X79" s="26"/>
      <c r="Y79" s="22"/>
      <c r="Z79" s="20"/>
    </row>
    <row r="80" spans="1:26" ht="3.75" customHeight="1" thickBot="1" x14ac:dyDescent="0.3">
      <c r="A80" s="20"/>
      <c r="B80" s="26"/>
      <c r="C80" s="30"/>
      <c r="D80" s="24"/>
      <c r="E80" s="24"/>
      <c r="F80" s="24"/>
      <c r="G80" s="24"/>
      <c r="H80" s="24"/>
      <c r="I80" s="24"/>
      <c r="J80" s="24"/>
      <c r="K80" s="24"/>
      <c r="L80" s="24"/>
      <c r="M80" s="24"/>
      <c r="N80" s="24"/>
      <c r="O80" s="24"/>
      <c r="P80" s="24"/>
      <c r="Q80" s="24"/>
      <c r="R80" s="24"/>
      <c r="S80" s="24"/>
      <c r="T80" s="24"/>
      <c r="U80" s="24"/>
      <c r="V80" s="24"/>
      <c r="W80" s="24"/>
      <c r="X80" s="31"/>
      <c r="Y80" s="25"/>
      <c r="Z80" s="20"/>
    </row>
    <row r="81" spans="1:26" ht="3.75" customHeight="1" thickTop="1" x14ac:dyDescent="0.25">
      <c r="A81" s="20"/>
      <c r="B81" s="26"/>
      <c r="C81" s="25"/>
      <c r="D81" s="25"/>
      <c r="E81" s="25"/>
      <c r="F81" s="25"/>
      <c r="G81" s="25"/>
      <c r="H81" s="25"/>
      <c r="I81" s="25"/>
      <c r="J81" s="25"/>
      <c r="K81" s="25"/>
      <c r="L81" s="52"/>
      <c r="M81" s="25"/>
      <c r="N81" s="25"/>
      <c r="O81" s="25"/>
      <c r="P81" s="25"/>
      <c r="Q81" s="25"/>
      <c r="R81" s="25"/>
      <c r="S81" s="25"/>
      <c r="T81" s="25"/>
      <c r="U81" s="25"/>
      <c r="V81" s="25"/>
      <c r="W81" s="25"/>
      <c r="X81" s="26"/>
      <c r="Y81" s="25"/>
      <c r="Z81" s="20"/>
    </row>
    <row r="82" spans="1:26" ht="15" customHeight="1" x14ac:dyDescent="0.25">
      <c r="A82" s="20"/>
      <c r="B82" s="22"/>
      <c r="C82" s="29"/>
      <c r="D82" s="27" t="s">
        <v>9</v>
      </c>
      <c r="E82" s="25"/>
      <c r="F82" s="25"/>
      <c r="G82" s="25"/>
      <c r="H82" s="25"/>
      <c r="I82" s="25"/>
      <c r="J82" s="25"/>
      <c r="K82" s="25"/>
      <c r="L82" s="26"/>
      <c r="M82" s="27" t="s">
        <v>10</v>
      </c>
      <c r="N82" s="25"/>
      <c r="O82" s="25"/>
      <c r="P82" s="25"/>
      <c r="Q82" s="25"/>
      <c r="R82" s="22"/>
      <c r="S82" s="25"/>
      <c r="T82" s="25"/>
      <c r="U82" s="25"/>
      <c r="V82" s="25"/>
      <c r="W82" s="25"/>
      <c r="X82" s="26"/>
      <c r="Y82" s="22"/>
      <c r="Z82" s="20"/>
    </row>
    <row r="83" spans="1:26" ht="15" customHeight="1" thickBot="1" x14ac:dyDescent="0.3">
      <c r="A83" s="20"/>
      <c r="B83" s="22"/>
      <c r="C83" s="29"/>
      <c r="D83" s="32"/>
      <c r="E83" s="32"/>
      <c r="F83" s="53"/>
      <c r="G83" s="53"/>
      <c r="H83" s="53"/>
      <c r="I83" s="53"/>
      <c r="J83" s="53"/>
      <c r="K83" s="53"/>
      <c r="L83" s="54"/>
      <c r="M83" s="32"/>
      <c r="N83" s="32"/>
      <c r="O83" s="32"/>
      <c r="P83" s="32"/>
      <c r="Q83" s="32"/>
      <c r="R83" s="33"/>
      <c r="S83" s="53"/>
      <c r="T83" s="53"/>
      <c r="U83" s="53"/>
      <c r="V83" s="32"/>
      <c r="W83" s="32"/>
      <c r="X83" s="26"/>
      <c r="Y83" s="22"/>
      <c r="Z83" s="20"/>
    </row>
    <row r="84" spans="1:26" ht="15" customHeight="1" thickTop="1" x14ac:dyDescent="0.25">
      <c r="A84" s="20"/>
      <c r="B84" s="22"/>
      <c r="C84" s="29"/>
      <c r="D84" s="32"/>
      <c r="E84" s="33"/>
      <c r="F84" s="55" t="s">
        <v>39</v>
      </c>
      <c r="G84" s="33"/>
      <c r="H84" s="33"/>
      <c r="I84" s="33"/>
      <c r="J84" s="33"/>
      <c r="K84" s="33"/>
      <c r="L84" s="54"/>
      <c r="M84" s="32"/>
      <c r="N84" s="56" t="s">
        <v>47</v>
      </c>
      <c r="O84" s="57"/>
      <c r="P84" s="57"/>
      <c r="Q84" s="57"/>
      <c r="R84" s="57"/>
      <c r="S84" s="281" t="s">
        <v>13</v>
      </c>
      <c r="T84" s="281"/>
      <c r="U84" s="281"/>
      <c r="V84" s="32"/>
      <c r="W84" s="32"/>
      <c r="X84" s="26"/>
      <c r="Y84" s="22"/>
      <c r="Z84" s="20"/>
    </row>
    <row r="85" spans="1:26" ht="15" customHeight="1" x14ac:dyDescent="0.25">
      <c r="A85" s="20"/>
      <c r="B85" s="22"/>
      <c r="C85" s="29"/>
      <c r="D85" s="32"/>
      <c r="E85" s="33"/>
      <c r="F85" s="226" t="s">
        <v>33</v>
      </c>
      <c r="G85" s="226"/>
      <c r="H85" s="226"/>
      <c r="I85" s="285">
        <v>7.875</v>
      </c>
      <c r="J85" s="223" t="s">
        <v>6</v>
      </c>
      <c r="K85" s="32"/>
      <c r="L85" s="54"/>
      <c r="M85" s="32"/>
      <c r="N85" s="32" t="s">
        <v>43</v>
      </c>
      <c r="O85" s="32"/>
      <c r="P85" s="32"/>
      <c r="Q85" s="32"/>
      <c r="R85" s="33"/>
      <c r="S85" s="32"/>
      <c r="T85" s="58">
        <f>$Q$41</f>
        <v>46.058088720000001</v>
      </c>
      <c r="U85" s="32"/>
      <c r="V85" s="32"/>
      <c r="W85" s="32"/>
      <c r="X85" s="26"/>
      <c r="Y85" s="22"/>
      <c r="Z85" s="20"/>
    </row>
    <row r="86" spans="1:26" ht="15" customHeight="1" x14ac:dyDescent="0.25">
      <c r="A86" s="20"/>
      <c r="B86" s="22"/>
      <c r="C86" s="29"/>
      <c r="D86" s="32"/>
      <c r="E86" s="33"/>
      <c r="F86" s="226"/>
      <c r="G86" s="226"/>
      <c r="H86" s="226"/>
      <c r="I86" s="285"/>
      <c r="J86" s="223"/>
      <c r="K86" s="32"/>
      <c r="L86" s="54"/>
      <c r="M86" s="32"/>
      <c r="N86" s="32" t="s">
        <v>45</v>
      </c>
      <c r="O86" s="32"/>
      <c r="P86" s="32"/>
      <c r="Q86" s="32"/>
      <c r="R86" s="33"/>
      <c r="S86" s="32"/>
      <c r="T86" s="48">
        <f>Q55</f>
        <v>1.9763305600000003</v>
      </c>
      <c r="U86" s="32"/>
      <c r="V86" s="32"/>
      <c r="W86" s="32"/>
      <c r="X86" s="26"/>
      <c r="Y86" s="22"/>
      <c r="Z86" s="20"/>
    </row>
    <row r="87" spans="1:26" ht="15" customHeight="1" x14ac:dyDescent="0.25">
      <c r="A87" s="20"/>
      <c r="B87" s="22"/>
      <c r="C87" s="29"/>
      <c r="D87" s="32"/>
      <c r="E87" s="33"/>
      <c r="F87" s="284" t="s">
        <v>34</v>
      </c>
      <c r="G87" s="226"/>
      <c r="H87" s="226"/>
      <c r="I87" s="285">
        <v>53.15</v>
      </c>
      <c r="J87" s="223" t="s">
        <v>12</v>
      </c>
      <c r="K87" s="225"/>
      <c r="L87" s="54"/>
      <c r="M87" s="32"/>
      <c r="N87" s="32" t="s">
        <v>46</v>
      </c>
      <c r="O87" s="32"/>
      <c r="P87" s="32"/>
      <c r="Q87" s="32"/>
      <c r="R87" s="33"/>
      <c r="S87" s="32"/>
      <c r="T87" s="48">
        <f>-$Q$69</f>
        <v>0</v>
      </c>
      <c r="U87" s="32"/>
      <c r="V87" s="32"/>
      <c r="W87" s="32"/>
      <c r="X87" s="26"/>
      <c r="Y87" s="22"/>
      <c r="Z87" s="20"/>
    </row>
    <row r="88" spans="1:26" ht="15" customHeight="1" thickBot="1" x14ac:dyDescent="0.3">
      <c r="A88" s="20"/>
      <c r="B88" s="22"/>
      <c r="C88" s="29"/>
      <c r="D88" s="32"/>
      <c r="E88" s="33"/>
      <c r="F88" s="226"/>
      <c r="G88" s="226"/>
      <c r="H88" s="226"/>
      <c r="I88" s="285"/>
      <c r="J88" s="223"/>
      <c r="K88" s="225"/>
      <c r="L88" s="54"/>
      <c r="M88" s="32"/>
      <c r="N88" s="59" t="s">
        <v>62</v>
      </c>
      <c r="O88" s="53"/>
      <c r="P88" s="53"/>
      <c r="Q88" s="53"/>
      <c r="R88" s="53"/>
      <c r="S88" s="53"/>
      <c r="T88" s="53"/>
      <c r="U88" s="60">
        <f>$T$85+$T$86+$T$87</f>
        <v>48.034419280000002</v>
      </c>
      <c r="V88" s="32"/>
      <c r="W88" s="32"/>
      <c r="X88" s="26"/>
      <c r="Y88" s="22"/>
      <c r="Z88" s="20"/>
    </row>
    <row r="89" spans="1:26" ht="15" customHeight="1" thickTop="1" x14ac:dyDescent="0.25">
      <c r="A89" s="20"/>
      <c r="B89" s="22"/>
      <c r="C89" s="29"/>
      <c r="D89" s="32"/>
      <c r="E89" s="33"/>
      <c r="F89" s="226" t="s">
        <v>35</v>
      </c>
      <c r="G89" s="226"/>
      <c r="H89" s="226"/>
      <c r="I89" s="286">
        <v>1</v>
      </c>
      <c r="J89" s="32"/>
      <c r="K89" s="32"/>
      <c r="L89" s="54"/>
      <c r="M89" s="32"/>
      <c r="N89" s="32"/>
      <c r="O89" s="32"/>
      <c r="P89" s="32"/>
      <c r="Q89" s="32"/>
      <c r="R89" s="32"/>
      <c r="S89" s="32"/>
      <c r="T89" s="32"/>
      <c r="U89" s="32"/>
      <c r="V89" s="32"/>
      <c r="W89" s="32"/>
      <c r="X89" s="26"/>
      <c r="Y89" s="22"/>
      <c r="Z89" s="20"/>
    </row>
    <row r="90" spans="1:26" ht="15" customHeight="1" thickBot="1" x14ac:dyDescent="0.3">
      <c r="A90" s="20"/>
      <c r="B90" s="22"/>
      <c r="C90" s="29"/>
      <c r="D90" s="32"/>
      <c r="E90" s="33"/>
      <c r="F90" s="226"/>
      <c r="G90" s="226"/>
      <c r="H90" s="226"/>
      <c r="I90" s="286"/>
      <c r="J90" s="32"/>
      <c r="K90" s="32"/>
      <c r="L90" s="54"/>
      <c r="M90" s="32"/>
      <c r="N90" s="61"/>
      <c r="O90" s="32"/>
      <c r="P90" s="32"/>
      <c r="Q90" s="32"/>
      <c r="R90" s="32"/>
      <c r="S90" s="62"/>
      <c r="T90" s="62"/>
      <c r="U90" s="62"/>
      <c r="V90" s="32"/>
      <c r="W90" s="32"/>
      <c r="X90" s="26"/>
      <c r="Y90" s="22"/>
      <c r="Z90" s="20"/>
    </row>
    <row r="91" spans="1:26" ht="15" customHeight="1" thickTop="1" x14ac:dyDescent="0.25">
      <c r="A91" s="20"/>
      <c r="B91" s="22"/>
      <c r="C91" s="29"/>
      <c r="D91" s="32"/>
      <c r="E91" s="33"/>
      <c r="F91" s="226" t="s">
        <v>32</v>
      </c>
      <c r="G91" s="226"/>
      <c r="H91" s="226"/>
      <c r="I91" s="286">
        <v>1</v>
      </c>
      <c r="J91" s="32"/>
      <c r="K91" s="32"/>
      <c r="L91" s="54"/>
      <c r="M91" s="32"/>
      <c r="N91" s="56" t="s">
        <v>60</v>
      </c>
      <c r="O91" s="57"/>
      <c r="P91" s="57"/>
      <c r="Q91" s="57"/>
      <c r="R91" s="63"/>
      <c r="S91" s="281" t="s">
        <v>13</v>
      </c>
      <c r="T91" s="281"/>
      <c r="U91" s="281"/>
      <c r="V91" s="32"/>
      <c r="W91" s="32"/>
      <c r="X91" s="26"/>
      <c r="Y91" s="22"/>
      <c r="Z91" s="20"/>
    </row>
    <row r="92" spans="1:26" ht="15" customHeight="1" x14ac:dyDescent="0.25">
      <c r="A92" s="20"/>
      <c r="B92" s="22"/>
      <c r="C92" s="29"/>
      <c r="D92" s="32"/>
      <c r="E92" s="33"/>
      <c r="F92" s="226"/>
      <c r="G92" s="226"/>
      <c r="H92" s="226"/>
      <c r="I92" s="286"/>
      <c r="J92" s="32"/>
      <c r="K92" s="32"/>
      <c r="L92" s="54"/>
      <c r="M92" s="32"/>
      <c r="N92" s="61" t="s">
        <v>67</v>
      </c>
      <c r="O92" s="32"/>
      <c r="P92" s="32"/>
      <c r="Q92" s="32"/>
      <c r="R92" s="45"/>
      <c r="S92" s="32"/>
      <c r="T92" s="32"/>
      <c r="U92" s="32"/>
      <c r="V92" s="32"/>
      <c r="W92" s="32"/>
      <c r="X92" s="26"/>
      <c r="Y92" s="22"/>
      <c r="Z92" s="20"/>
    </row>
    <row r="93" spans="1:26" ht="15" customHeight="1" x14ac:dyDescent="0.25">
      <c r="A93" s="20"/>
      <c r="B93" s="22"/>
      <c r="C93" s="29"/>
      <c r="D93" s="32"/>
      <c r="E93" s="33"/>
      <c r="F93" s="226" t="s">
        <v>36</v>
      </c>
      <c r="G93" s="226"/>
      <c r="H93" s="227"/>
      <c r="I93" s="224">
        <v>0.6</v>
      </c>
      <c r="J93" s="32"/>
      <c r="K93" s="32"/>
      <c r="L93" s="54"/>
      <c r="M93" s="32"/>
      <c r="N93" s="225" t="s">
        <v>48</v>
      </c>
      <c r="O93" s="233"/>
      <c r="P93" s="2">
        <v>2</v>
      </c>
      <c r="Q93" s="32" t="s">
        <v>82</v>
      </c>
      <c r="R93" s="32"/>
      <c r="S93" s="282">
        <f>$P$93*$P$97*$P$94/1000000</f>
        <v>0.44314809999999999</v>
      </c>
      <c r="T93" s="32"/>
      <c r="U93" s="32"/>
      <c r="V93" s="32"/>
      <c r="W93" s="32"/>
      <c r="X93" s="26"/>
      <c r="Y93" s="22"/>
      <c r="Z93" s="20"/>
    </row>
    <row r="94" spans="1:26" ht="15" customHeight="1" x14ac:dyDescent="0.25">
      <c r="A94" s="20"/>
      <c r="B94" s="22"/>
      <c r="C94" s="29"/>
      <c r="D94" s="32"/>
      <c r="E94" s="33"/>
      <c r="F94" s="226"/>
      <c r="G94" s="226"/>
      <c r="H94" s="227"/>
      <c r="I94" s="224"/>
      <c r="J94" s="32"/>
      <c r="K94" s="32"/>
      <c r="L94" s="54"/>
      <c r="M94" s="32"/>
      <c r="N94" s="225"/>
      <c r="O94" s="233"/>
      <c r="P94" s="16">
        <v>44314.81</v>
      </c>
      <c r="Q94" s="32" t="s">
        <v>85</v>
      </c>
      <c r="R94" s="32"/>
      <c r="S94" s="283"/>
      <c r="T94" s="32"/>
      <c r="U94" s="32"/>
      <c r="V94" s="32"/>
      <c r="W94" s="32"/>
      <c r="X94" s="26"/>
      <c r="Y94" s="22"/>
      <c r="Z94" s="20"/>
    </row>
    <row r="95" spans="1:26" ht="15" customHeight="1" x14ac:dyDescent="0.25">
      <c r="A95" s="20"/>
      <c r="B95" s="22"/>
      <c r="C95" s="29"/>
      <c r="D95" s="32"/>
      <c r="E95" s="33"/>
      <c r="F95" s="226" t="s">
        <v>37</v>
      </c>
      <c r="G95" s="226"/>
      <c r="H95" s="227"/>
      <c r="I95" s="224">
        <v>0.8</v>
      </c>
      <c r="J95" s="32"/>
      <c r="K95" s="32"/>
      <c r="L95" s="54"/>
      <c r="M95" s="32"/>
      <c r="N95" s="225" t="s">
        <v>81</v>
      </c>
      <c r="O95" s="225"/>
      <c r="P95" s="2">
        <v>1</v>
      </c>
      <c r="Q95" s="32" t="s">
        <v>83</v>
      </c>
      <c r="R95" s="33"/>
      <c r="S95" s="282">
        <f>$P$95*$P$97*$P$96/1000000</f>
        <v>0.26589229999999997</v>
      </c>
      <c r="T95" s="32"/>
      <c r="U95" s="32"/>
      <c r="V95" s="32"/>
      <c r="W95" s="32"/>
      <c r="X95" s="26"/>
      <c r="Y95" s="22"/>
      <c r="Z95" s="20"/>
    </row>
    <row r="96" spans="1:26" ht="15" customHeight="1" x14ac:dyDescent="0.25">
      <c r="A96" s="20"/>
      <c r="B96" s="22"/>
      <c r="C96" s="29"/>
      <c r="D96" s="32"/>
      <c r="E96" s="33"/>
      <c r="F96" s="226"/>
      <c r="G96" s="226"/>
      <c r="H96" s="227"/>
      <c r="I96" s="224"/>
      <c r="J96" s="32"/>
      <c r="K96" s="32"/>
      <c r="L96" s="54"/>
      <c r="M96" s="32"/>
      <c r="N96" s="225"/>
      <c r="O96" s="225"/>
      <c r="P96" s="16">
        <v>53178.46</v>
      </c>
      <c r="Q96" s="32" t="s">
        <v>84</v>
      </c>
      <c r="R96" s="33"/>
      <c r="S96" s="283"/>
      <c r="T96" s="32"/>
      <c r="U96" s="32"/>
      <c r="V96" s="32"/>
      <c r="W96" s="32"/>
      <c r="X96" s="26"/>
      <c r="Y96" s="22"/>
      <c r="Z96" s="20"/>
    </row>
    <row r="97" spans="1:26" ht="15" customHeight="1" x14ac:dyDescent="0.25">
      <c r="A97" s="20"/>
      <c r="B97" s="22"/>
      <c r="C97" s="29"/>
      <c r="D97" s="32"/>
      <c r="E97" s="33"/>
      <c r="F97" s="226" t="s">
        <v>38</v>
      </c>
      <c r="G97" s="226"/>
      <c r="H97" s="227"/>
      <c r="I97" s="224">
        <v>1</v>
      </c>
      <c r="J97" s="32"/>
      <c r="K97" s="32"/>
      <c r="L97" s="54"/>
      <c r="M97" s="32"/>
      <c r="N97" s="64" t="s">
        <v>86</v>
      </c>
      <c r="O97" s="32"/>
      <c r="P97" s="2">
        <v>5</v>
      </c>
      <c r="Q97" s="32" t="s">
        <v>96</v>
      </c>
      <c r="R97" s="32"/>
      <c r="S97" s="65"/>
      <c r="T97" s="65"/>
      <c r="U97" s="65"/>
      <c r="V97" s="32"/>
      <c r="W97" s="32"/>
      <c r="X97" s="26"/>
      <c r="Y97" s="22"/>
      <c r="Z97" s="20"/>
    </row>
    <row r="98" spans="1:26" ht="15" customHeight="1" x14ac:dyDescent="0.25">
      <c r="A98" s="20"/>
      <c r="B98" s="22"/>
      <c r="C98" s="29"/>
      <c r="D98" s="32"/>
      <c r="E98" s="33"/>
      <c r="F98" s="226"/>
      <c r="G98" s="226"/>
      <c r="H98" s="227"/>
      <c r="I98" s="224"/>
      <c r="J98" s="32"/>
      <c r="K98" s="32"/>
      <c r="L98" s="54"/>
      <c r="M98" s="32"/>
      <c r="N98" s="64" t="s">
        <v>50</v>
      </c>
      <c r="O98" s="32"/>
      <c r="P98" s="3">
        <v>0.2</v>
      </c>
      <c r="Q98" s="32" t="s">
        <v>87</v>
      </c>
      <c r="R98" s="32"/>
      <c r="S98" s="48">
        <f>$P$98*($S$95+$S$93)</f>
        <v>0.14180807999999998</v>
      </c>
      <c r="T98" s="32"/>
      <c r="U98" s="32"/>
      <c r="V98" s="32"/>
      <c r="W98" s="32"/>
      <c r="X98" s="26"/>
      <c r="Y98" s="22"/>
      <c r="Z98" s="20"/>
    </row>
    <row r="99" spans="1:26" ht="15" customHeight="1" x14ac:dyDescent="0.25">
      <c r="A99" s="20"/>
      <c r="B99" s="22"/>
      <c r="C99" s="29"/>
      <c r="D99" s="32"/>
      <c r="E99" s="33"/>
      <c r="F99" s="66"/>
      <c r="G99" s="66"/>
      <c r="H99" s="66"/>
      <c r="I99" s="32"/>
      <c r="J99" s="32"/>
      <c r="K99" s="32"/>
      <c r="L99" s="54"/>
      <c r="M99" s="32"/>
      <c r="N99" s="32" t="s">
        <v>49</v>
      </c>
      <c r="O99" s="32"/>
      <c r="P99" s="3">
        <v>0.02</v>
      </c>
      <c r="Q99" s="32" t="s">
        <v>52</v>
      </c>
      <c r="R99" s="32"/>
      <c r="S99" s="50">
        <f>$P$99*$I$107</f>
        <v>1.0629999999999999</v>
      </c>
      <c r="T99" s="32"/>
      <c r="U99" s="32"/>
      <c r="V99" s="32"/>
      <c r="W99" s="32"/>
      <c r="X99" s="26"/>
      <c r="Y99" s="22"/>
      <c r="Z99" s="20"/>
    </row>
    <row r="100" spans="1:26" ht="15" customHeight="1" x14ac:dyDescent="0.25">
      <c r="A100" s="20"/>
      <c r="B100" s="22"/>
      <c r="C100" s="29"/>
      <c r="D100" s="32"/>
      <c r="E100" s="33"/>
      <c r="F100" s="226" t="s">
        <v>2</v>
      </c>
      <c r="G100" s="226"/>
      <c r="H100" s="226"/>
      <c r="I100" s="221">
        <f>I13</f>
        <v>7.875</v>
      </c>
      <c r="J100" s="223" t="s">
        <v>6</v>
      </c>
      <c r="K100" s="32"/>
      <c r="L100" s="54"/>
      <c r="M100" s="32"/>
      <c r="N100" s="44" t="s">
        <v>63</v>
      </c>
      <c r="O100" s="44"/>
      <c r="P100" s="44"/>
      <c r="Q100" s="44"/>
      <c r="R100" s="44"/>
      <c r="S100" s="44"/>
      <c r="T100" s="48">
        <f>$S$93+$S$95+$S$98+$S$99</f>
        <v>1.91384848</v>
      </c>
      <c r="U100" s="32"/>
      <c r="V100" s="32"/>
      <c r="W100" s="32"/>
      <c r="X100" s="26"/>
      <c r="Y100" s="22"/>
      <c r="Z100" s="20"/>
    </row>
    <row r="101" spans="1:26" ht="15" customHeight="1" x14ac:dyDescent="0.25">
      <c r="A101" s="20"/>
      <c r="B101" s="22"/>
      <c r="C101" s="29"/>
      <c r="D101" s="32"/>
      <c r="E101" s="33"/>
      <c r="F101" s="226"/>
      <c r="G101" s="226"/>
      <c r="H101" s="226"/>
      <c r="I101" s="222"/>
      <c r="J101" s="223"/>
      <c r="K101" s="32"/>
      <c r="L101" s="54"/>
      <c r="M101" s="32"/>
      <c r="N101" s="32"/>
      <c r="O101" s="32"/>
      <c r="P101" s="67"/>
      <c r="Q101" s="32"/>
      <c r="R101" s="35"/>
      <c r="S101" s="32"/>
      <c r="T101" s="32"/>
      <c r="U101" s="32"/>
      <c r="V101" s="32"/>
      <c r="W101" s="32"/>
      <c r="X101" s="26"/>
      <c r="Y101" s="22"/>
      <c r="Z101" s="20"/>
    </row>
    <row r="102" spans="1:26" ht="15" customHeight="1" x14ac:dyDescent="0.25">
      <c r="A102" s="20"/>
      <c r="B102" s="22"/>
      <c r="C102" s="29"/>
      <c r="D102" s="32"/>
      <c r="E102" s="33"/>
      <c r="F102" s="66"/>
      <c r="G102" s="66"/>
      <c r="H102" s="66"/>
      <c r="I102" s="32"/>
      <c r="J102" s="32"/>
      <c r="K102" s="32"/>
      <c r="L102" s="54"/>
      <c r="M102" s="32"/>
      <c r="N102" s="68" t="s">
        <v>66</v>
      </c>
      <c r="O102" s="45"/>
      <c r="P102" s="45"/>
      <c r="Q102" s="45"/>
      <c r="R102" s="33"/>
      <c r="S102" s="45"/>
      <c r="T102" s="45"/>
      <c r="U102" s="32"/>
      <c r="V102" s="32"/>
      <c r="W102" s="32"/>
      <c r="X102" s="26"/>
      <c r="Y102" s="22"/>
      <c r="Z102" s="20"/>
    </row>
    <row r="103" spans="1:26" ht="15" customHeight="1" x14ac:dyDescent="0.25">
      <c r="A103" s="20"/>
      <c r="B103" s="22"/>
      <c r="C103" s="29"/>
      <c r="D103" s="32"/>
      <c r="E103" s="33"/>
      <c r="F103" s="69"/>
      <c r="G103" s="69"/>
      <c r="H103" s="69"/>
      <c r="I103" s="33"/>
      <c r="J103" s="33"/>
      <c r="K103" s="33"/>
      <c r="L103" s="54"/>
      <c r="M103" s="32"/>
      <c r="N103" s="32" t="s">
        <v>54</v>
      </c>
      <c r="O103" s="32"/>
      <c r="P103" s="3">
        <v>0.1</v>
      </c>
      <c r="Q103" s="32" t="s">
        <v>71</v>
      </c>
      <c r="R103" s="33"/>
      <c r="S103" s="32"/>
      <c r="T103" s="32"/>
      <c r="U103" s="32"/>
      <c r="V103" s="32"/>
      <c r="W103" s="32"/>
      <c r="X103" s="26"/>
      <c r="Y103" s="22"/>
      <c r="Z103" s="20"/>
    </row>
    <row r="104" spans="1:26" ht="15" customHeight="1" x14ac:dyDescent="0.25">
      <c r="A104" s="20"/>
      <c r="B104" s="22"/>
      <c r="C104" s="29"/>
      <c r="D104" s="32"/>
      <c r="E104" s="33"/>
      <c r="F104" s="229" t="s">
        <v>41</v>
      </c>
      <c r="G104" s="229"/>
      <c r="H104" s="230"/>
      <c r="I104" s="231">
        <f>IF(I13&lt;I85,I87*(I13/I85)^I93*(I91/I89),I87*(I13/I85)^I95*(I91/I89))</f>
        <v>53.15</v>
      </c>
      <c r="J104" s="228" t="s">
        <v>12</v>
      </c>
      <c r="K104" s="216"/>
      <c r="L104" s="54"/>
      <c r="M104" s="32"/>
      <c r="N104" s="32" t="s">
        <v>53</v>
      </c>
      <c r="O104" s="32"/>
      <c r="P104" s="3">
        <v>0.02</v>
      </c>
      <c r="Q104" s="32" t="s">
        <v>58</v>
      </c>
      <c r="R104" s="33"/>
      <c r="S104" s="32"/>
      <c r="T104" s="32"/>
      <c r="U104" s="32"/>
      <c r="V104" s="32"/>
      <c r="W104" s="32"/>
      <c r="X104" s="26"/>
      <c r="Y104" s="22"/>
      <c r="Z104" s="20"/>
    </row>
    <row r="105" spans="1:26" ht="15" customHeight="1" x14ac:dyDescent="0.25">
      <c r="A105" s="20"/>
      <c r="B105" s="22"/>
      <c r="C105" s="29"/>
      <c r="D105" s="32"/>
      <c r="E105" s="33"/>
      <c r="F105" s="229"/>
      <c r="G105" s="229"/>
      <c r="H105" s="230"/>
      <c r="I105" s="232"/>
      <c r="J105" s="228"/>
      <c r="K105" s="216"/>
      <c r="L105" s="54"/>
      <c r="M105" s="32"/>
      <c r="N105" s="44" t="s">
        <v>89</v>
      </c>
      <c r="O105" s="44"/>
      <c r="P105" s="44"/>
      <c r="Q105" s="44"/>
      <c r="R105" s="44"/>
      <c r="S105" s="44"/>
      <c r="T105" s="48">
        <f>$P$103*$S$99+$P$104*$I$107</f>
        <v>1.1693</v>
      </c>
      <c r="U105" s="32"/>
      <c r="V105" s="32"/>
      <c r="W105" s="32"/>
      <c r="X105" s="26"/>
      <c r="Y105" s="22"/>
      <c r="Z105" s="20"/>
    </row>
    <row r="106" spans="1:26" ht="15" customHeight="1" x14ac:dyDescent="0.25">
      <c r="A106" s="20"/>
      <c r="B106" s="22"/>
      <c r="C106" s="29"/>
      <c r="D106" s="32"/>
      <c r="E106" s="33"/>
      <c r="F106" s="70"/>
      <c r="G106" s="70"/>
      <c r="H106" s="70"/>
      <c r="I106" s="61"/>
      <c r="J106" s="61"/>
      <c r="K106" s="61"/>
      <c r="L106" s="54"/>
      <c r="M106" s="32"/>
      <c r="N106" s="71"/>
      <c r="O106" s="35"/>
      <c r="P106" s="35"/>
      <c r="Q106" s="35"/>
      <c r="R106" s="35"/>
      <c r="S106" s="35"/>
      <c r="T106" s="35"/>
      <c r="U106" s="32"/>
      <c r="V106" s="32"/>
      <c r="W106" s="32"/>
      <c r="X106" s="26"/>
      <c r="Y106" s="22"/>
      <c r="Z106" s="20"/>
    </row>
    <row r="107" spans="1:26" ht="15" customHeight="1" x14ac:dyDescent="0.25">
      <c r="A107" s="20"/>
      <c r="B107" s="22"/>
      <c r="C107" s="29"/>
      <c r="D107" s="32"/>
      <c r="E107" s="32"/>
      <c r="F107" s="229" t="s">
        <v>40</v>
      </c>
      <c r="G107" s="229"/>
      <c r="H107" s="230"/>
      <c r="I107" s="231">
        <f>I97*I104</f>
        <v>53.15</v>
      </c>
      <c r="J107" s="228" t="s">
        <v>12</v>
      </c>
      <c r="K107" s="216"/>
      <c r="L107" s="54"/>
      <c r="M107" s="32"/>
      <c r="N107" s="71" t="s">
        <v>88</v>
      </c>
      <c r="O107" s="35"/>
      <c r="P107" s="72"/>
      <c r="Q107" s="35"/>
      <c r="R107" s="35"/>
      <c r="S107" s="35"/>
      <c r="T107" s="35"/>
      <c r="U107" s="32"/>
      <c r="V107" s="32"/>
      <c r="W107" s="32"/>
      <c r="X107" s="26"/>
      <c r="Y107" s="22"/>
      <c r="Z107" s="20"/>
    </row>
    <row r="108" spans="1:26" ht="15" customHeight="1" x14ac:dyDescent="0.25">
      <c r="A108" s="20"/>
      <c r="B108" s="22"/>
      <c r="C108" s="29"/>
      <c r="D108" s="32"/>
      <c r="E108" s="32"/>
      <c r="F108" s="229"/>
      <c r="G108" s="229"/>
      <c r="H108" s="230"/>
      <c r="I108" s="232"/>
      <c r="J108" s="228"/>
      <c r="K108" s="216"/>
      <c r="L108" s="54"/>
      <c r="M108" s="32"/>
      <c r="N108" s="32" t="s">
        <v>55</v>
      </c>
      <c r="O108" s="32"/>
      <c r="P108" s="3">
        <v>0.6</v>
      </c>
      <c r="Q108" s="32" t="s">
        <v>57</v>
      </c>
      <c r="R108" s="33"/>
      <c r="S108" s="48">
        <f>$T$100*$P$108</f>
        <v>1.148309088</v>
      </c>
      <c r="T108" s="73"/>
      <c r="U108" s="32"/>
      <c r="V108" s="32"/>
      <c r="W108" s="32"/>
      <c r="X108" s="26"/>
      <c r="Y108" s="22"/>
      <c r="Z108" s="20"/>
    </row>
    <row r="109" spans="1:26" ht="15" customHeight="1" thickBot="1" x14ac:dyDescent="0.3">
      <c r="A109" s="20"/>
      <c r="B109" s="22"/>
      <c r="C109" s="29"/>
      <c r="D109" s="32"/>
      <c r="E109" s="32"/>
      <c r="F109" s="53"/>
      <c r="G109" s="53"/>
      <c r="H109" s="53"/>
      <c r="I109" s="53"/>
      <c r="J109" s="53"/>
      <c r="K109" s="53"/>
      <c r="L109" s="54"/>
      <c r="M109" s="32"/>
      <c r="N109" s="32" t="s">
        <v>56</v>
      </c>
      <c r="O109" s="32"/>
      <c r="P109" s="4">
        <v>0.02</v>
      </c>
      <c r="Q109" s="32" t="s">
        <v>58</v>
      </c>
      <c r="R109" s="32"/>
      <c r="S109" s="48">
        <f>$P$109*$I$107</f>
        <v>1.0629999999999999</v>
      </c>
      <c r="T109" s="73"/>
      <c r="U109" s="32"/>
      <c r="V109" s="32"/>
      <c r="W109" s="32"/>
      <c r="X109" s="26"/>
      <c r="Y109" s="22"/>
      <c r="Z109" s="20"/>
    </row>
    <row r="110" spans="1:26" ht="15" customHeight="1" thickTop="1" x14ac:dyDescent="0.25">
      <c r="A110" s="20"/>
      <c r="B110" s="22"/>
      <c r="C110" s="29"/>
      <c r="D110" s="32"/>
      <c r="E110" s="32"/>
      <c r="F110" s="63"/>
      <c r="G110" s="63"/>
      <c r="H110" s="63"/>
      <c r="I110" s="63"/>
      <c r="J110" s="63"/>
      <c r="K110" s="63"/>
      <c r="L110" s="54"/>
      <c r="M110" s="32"/>
      <c r="N110" s="32" t="s">
        <v>59</v>
      </c>
      <c r="O110" s="32"/>
      <c r="P110" s="3">
        <v>0.1</v>
      </c>
      <c r="Q110" s="32" t="s">
        <v>58</v>
      </c>
      <c r="R110" s="32"/>
      <c r="S110" s="48">
        <f>$P$110*$I$107</f>
        <v>5.3150000000000004</v>
      </c>
      <c r="T110" s="73"/>
      <c r="U110" s="32"/>
      <c r="V110" s="32"/>
      <c r="W110" s="32"/>
      <c r="X110" s="26"/>
      <c r="Y110" s="22"/>
      <c r="Z110" s="20"/>
    </row>
    <row r="111" spans="1:26" ht="15" customHeight="1" thickBot="1" x14ac:dyDescent="0.3">
      <c r="A111" s="20"/>
      <c r="B111" s="22"/>
      <c r="C111" s="29"/>
      <c r="D111" s="32"/>
      <c r="E111" s="32"/>
      <c r="F111" s="53"/>
      <c r="G111" s="53"/>
      <c r="H111" s="53"/>
      <c r="I111" s="53"/>
      <c r="J111" s="53"/>
      <c r="K111" s="53"/>
      <c r="L111" s="54"/>
      <c r="M111" s="32"/>
      <c r="N111" s="74" t="s">
        <v>90</v>
      </c>
      <c r="O111" s="74"/>
      <c r="P111" s="74"/>
      <c r="Q111" s="74"/>
      <c r="R111" s="74"/>
      <c r="S111" s="74"/>
      <c r="T111" s="75">
        <f>$S$108+$S$109+$S$110</f>
        <v>7.5263090880000005</v>
      </c>
      <c r="U111" s="33"/>
      <c r="V111" s="32"/>
      <c r="W111" s="32"/>
      <c r="X111" s="26"/>
      <c r="Y111" s="22"/>
      <c r="Z111" s="20"/>
    </row>
    <row r="112" spans="1:26" ht="15" customHeight="1" thickTop="1" thickBot="1" x14ac:dyDescent="0.3">
      <c r="A112" s="20"/>
      <c r="B112" s="22"/>
      <c r="C112" s="29"/>
      <c r="D112" s="32"/>
      <c r="E112" s="32"/>
      <c r="F112" s="56" t="s">
        <v>75</v>
      </c>
      <c r="G112" s="57"/>
      <c r="H112" s="57"/>
      <c r="I112" s="57"/>
      <c r="J112" s="57"/>
      <c r="K112" s="57"/>
      <c r="L112" s="54"/>
      <c r="M112" s="32"/>
      <c r="N112" s="76" t="s">
        <v>61</v>
      </c>
      <c r="O112" s="77"/>
      <c r="P112" s="77"/>
      <c r="Q112" s="77"/>
      <c r="R112" s="77"/>
      <c r="S112" s="77"/>
      <c r="T112" s="77"/>
      <c r="U112" s="60">
        <f>$T$100+$T$105+$T$111</f>
        <v>10.609457568</v>
      </c>
      <c r="V112" s="32"/>
      <c r="W112" s="32"/>
      <c r="X112" s="26"/>
      <c r="Y112" s="22"/>
      <c r="Z112" s="20"/>
    </row>
    <row r="113" spans="1:26" ht="15" customHeight="1" thickTop="1" x14ac:dyDescent="0.25">
      <c r="A113" s="20"/>
      <c r="B113" s="22"/>
      <c r="C113" s="29"/>
      <c r="D113" s="32"/>
      <c r="E113" s="32"/>
      <c r="F113" s="33" t="s">
        <v>76</v>
      </c>
      <c r="G113" s="33"/>
      <c r="H113" s="33"/>
      <c r="I113" s="120">
        <v>1</v>
      </c>
      <c r="J113" s="33" t="s">
        <v>52</v>
      </c>
      <c r="K113" s="33"/>
      <c r="L113" s="54"/>
      <c r="M113" s="32"/>
      <c r="N113" s="64"/>
      <c r="O113" s="64"/>
      <c r="P113" s="78"/>
      <c r="Q113" s="64"/>
      <c r="R113" s="64"/>
      <c r="S113" s="64"/>
      <c r="T113" s="79"/>
      <c r="U113" s="32"/>
      <c r="V113" s="32"/>
      <c r="W113" s="32"/>
      <c r="X113" s="26"/>
      <c r="Y113" s="22"/>
      <c r="Z113" s="20"/>
    </row>
    <row r="114" spans="1:26" ht="15" customHeight="1" x14ac:dyDescent="0.25">
      <c r="A114" s="20"/>
      <c r="B114" s="22"/>
      <c r="C114" s="29"/>
      <c r="D114" s="32"/>
      <c r="E114" s="32"/>
      <c r="F114" s="80" t="s">
        <v>51</v>
      </c>
      <c r="G114" s="80"/>
      <c r="H114" s="80"/>
      <c r="I114" s="81">
        <f>$I$113*$I$107</f>
        <v>53.15</v>
      </c>
      <c r="J114" s="80" t="s">
        <v>12</v>
      </c>
      <c r="K114" s="33"/>
      <c r="L114" s="54"/>
      <c r="M114" s="32"/>
      <c r="N114" s="64"/>
      <c r="O114" s="64"/>
      <c r="P114" s="64"/>
      <c r="Q114" s="64"/>
      <c r="R114" s="64"/>
      <c r="S114" s="64"/>
      <c r="T114" s="64"/>
      <c r="U114" s="33"/>
      <c r="V114" s="32"/>
      <c r="W114" s="32"/>
      <c r="X114" s="26"/>
      <c r="Y114" s="22"/>
      <c r="Z114" s="20"/>
    </row>
    <row r="115" spans="1:26" ht="15" customHeight="1" thickBot="1" x14ac:dyDescent="0.3">
      <c r="A115" s="20"/>
      <c r="B115" s="22"/>
      <c r="C115" s="29"/>
      <c r="D115" s="32"/>
      <c r="E115" s="32"/>
      <c r="F115" s="82" t="s">
        <v>77</v>
      </c>
      <c r="G115" s="82"/>
      <c r="H115" s="82"/>
      <c r="I115" s="83">
        <f>$I$107-$I$114</f>
        <v>0</v>
      </c>
      <c r="J115" s="82" t="s">
        <v>12</v>
      </c>
      <c r="K115" s="53"/>
      <c r="L115" s="54"/>
      <c r="M115" s="32"/>
      <c r="N115" s="68" t="s">
        <v>70</v>
      </c>
      <c r="O115" s="45"/>
      <c r="P115" s="45"/>
      <c r="Q115" s="45"/>
      <c r="R115" s="45"/>
      <c r="S115" s="45"/>
      <c r="T115" s="45"/>
      <c r="U115" s="33"/>
      <c r="V115" s="32"/>
      <c r="W115" s="32"/>
      <c r="X115" s="26"/>
      <c r="Y115" s="22"/>
      <c r="Z115" s="20"/>
    </row>
    <row r="116" spans="1:26" ht="15" customHeight="1" thickTop="1" x14ac:dyDescent="0.25">
      <c r="A116" s="20"/>
      <c r="B116" s="22"/>
      <c r="C116" s="29"/>
      <c r="D116" s="32"/>
      <c r="E116" s="32"/>
      <c r="F116" s="32"/>
      <c r="G116" s="32"/>
      <c r="H116" s="32"/>
      <c r="I116" s="84"/>
      <c r="J116" s="32"/>
      <c r="K116" s="32"/>
      <c r="L116" s="54"/>
      <c r="M116" s="32"/>
      <c r="N116" s="32" t="s">
        <v>44</v>
      </c>
      <c r="O116" s="39"/>
      <c r="P116" s="3">
        <v>0.02</v>
      </c>
      <c r="Q116" s="41" t="s">
        <v>95</v>
      </c>
      <c r="R116" s="32"/>
      <c r="S116" s="39"/>
      <c r="T116" s="48">
        <f>$P$116*($U$112+$U$88)</f>
        <v>1.1728775369600002</v>
      </c>
      <c r="U116" s="33"/>
      <c r="V116" s="32"/>
      <c r="W116" s="32"/>
      <c r="X116" s="26"/>
      <c r="Y116" s="22"/>
      <c r="Z116" s="20"/>
    </row>
    <row r="117" spans="1:26" ht="15" customHeight="1" thickBot="1" x14ac:dyDescent="0.3">
      <c r="A117" s="20"/>
      <c r="B117" s="22"/>
      <c r="C117" s="29"/>
      <c r="D117" s="32"/>
      <c r="E117" s="32"/>
      <c r="F117" s="82"/>
      <c r="G117" s="82"/>
      <c r="H117" s="82"/>
      <c r="I117" s="85"/>
      <c r="J117" s="82"/>
      <c r="K117" s="53"/>
      <c r="L117" s="54"/>
      <c r="M117" s="32"/>
      <c r="N117" s="76" t="s">
        <v>91</v>
      </c>
      <c r="O117" s="77"/>
      <c r="P117" s="77"/>
      <c r="Q117" s="77"/>
      <c r="R117" s="77"/>
      <c r="S117" s="77"/>
      <c r="T117" s="77"/>
      <c r="U117" s="60">
        <f>$T$116</f>
        <v>1.1728775369600002</v>
      </c>
      <c r="V117" s="32"/>
      <c r="W117" s="32"/>
      <c r="X117" s="26"/>
      <c r="Y117" s="22"/>
      <c r="Z117" s="20"/>
    </row>
    <row r="118" spans="1:26" ht="15" customHeight="1" thickTop="1" x14ac:dyDescent="0.25">
      <c r="A118" s="20"/>
      <c r="B118" s="22"/>
      <c r="C118" s="29"/>
      <c r="D118" s="32"/>
      <c r="E118" s="32"/>
      <c r="F118" s="86" t="s">
        <v>78</v>
      </c>
      <c r="G118" s="87"/>
      <c r="H118" s="87"/>
      <c r="I118" s="88"/>
      <c r="J118" s="87"/>
      <c r="K118" s="57"/>
      <c r="L118" s="54"/>
      <c r="M118" s="32"/>
      <c r="N118" s="61"/>
      <c r="O118" s="32"/>
      <c r="P118" s="32"/>
      <c r="Q118" s="32"/>
      <c r="R118" s="32"/>
      <c r="S118" s="32"/>
      <c r="T118" s="32"/>
      <c r="U118" s="32"/>
      <c r="V118" s="32"/>
      <c r="W118" s="32"/>
      <c r="X118" s="26"/>
      <c r="Y118" s="22"/>
      <c r="Z118" s="20"/>
    </row>
    <row r="119" spans="1:26" ht="15" customHeight="1" thickBot="1" x14ac:dyDescent="0.3">
      <c r="A119" s="20"/>
      <c r="B119" s="22"/>
      <c r="C119" s="29"/>
      <c r="D119" s="32"/>
      <c r="E119" s="32"/>
      <c r="F119" s="32" t="s">
        <v>9</v>
      </c>
      <c r="G119" s="32"/>
      <c r="H119" s="32"/>
      <c r="I119" s="89">
        <f>$I$107</f>
        <v>53.15</v>
      </c>
      <c r="J119" s="32" t="s">
        <v>12</v>
      </c>
      <c r="K119" s="32"/>
      <c r="L119" s="54"/>
      <c r="M119" s="32"/>
      <c r="N119" s="53"/>
      <c r="O119" s="53"/>
      <c r="P119" s="90"/>
      <c r="Q119" s="53"/>
      <c r="R119" s="53"/>
      <c r="S119" s="53"/>
      <c r="T119" s="91"/>
      <c r="U119" s="53"/>
      <c r="V119" s="32"/>
      <c r="W119" s="32"/>
      <c r="X119" s="26"/>
      <c r="Y119" s="22"/>
      <c r="Z119" s="20"/>
    </row>
    <row r="120" spans="1:26" ht="15" customHeight="1" thickTop="1" x14ac:dyDescent="0.25">
      <c r="A120" s="20"/>
      <c r="B120" s="22"/>
      <c r="C120" s="29"/>
      <c r="D120" s="32"/>
      <c r="E120" s="32"/>
      <c r="F120" s="80" t="s">
        <v>79</v>
      </c>
      <c r="G120" s="80"/>
      <c r="H120" s="80"/>
      <c r="I120" s="121">
        <v>0.05</v>
      </c>
      <c r="J120" s="80" t="s">
        <v>52</v>
      </c>
      <c r="K120" s="32"/>
      <c r="L120" s="54"/>
      <c r="M120" s="32"/>
      <c r="N120" s="61" t="s">
        <v>10</v>
      </c>
      <c r="O120" s="32"/>
      <c r="P120" s="32"/>
      <c r="Q120" s="32"/>
      <c r="R120" s="32"/>
      <c r="S120" s="32"/>
      <c r="T120" s="32"/>
      <c r="U120" s="92"/>
      <c r="V120" s="32"/>
      <c r="W120" s="32"/>
      <c r="X120" s="26"/>
      <c r="Y120" s="22"/>
      <c r="Z120" s="20"/>
    </row>
    <row r="121" spans="1:26" ht="15" customHeight="1" x14ac:dyDescent="0.25">
      <c r="A121" s="20"/>
      <c r="B121" s="22"/>
      <c r="C121" s="29"/>
      <c r="D121" s="32"/>
      <c r="E121" s="32"/>
      <c r="F121" s="80"/>
      <c r="G121" s="80"/>
      <c r="H121" s="80"/>
      <c r="I121" s="80"/>
      <c r="J121" s="80"/>
      <c r="K121" s="32"/>
      <c r="L121" s="54"/>
      <c r="M121" s="32"/>
      <c r="N121" s="33" t="s">
        <v>62</v>
      </c>
      <c r="O121" s="33"/>
      <c r="P121" s="33"/>
      <c r="Q121" s="33"/>
      <c r="R121" s="33"/>
      <c r="S121" s="33"/>
      <c r="T121" s="33"/>
      <c r="U121" s="33"/>
      <c r="V121" s="32"/>
      <c r="W121" s="32"/>
      <c r="X121" s="26"/>
      <c r="Y121" s="22"/>
      <c r="Z121" s="20"/>
    </row>
    <row r="122" spans="1:26" ht="15" customHeight="1" x14ac:dyDescent="0.25">
      <c r="A122" s="20"/>
      <c r="B122" s="22"/>
      <c r="C122" s="29"/>
      <c r="D122" s="32"/>
      <c r="E122" s="32"/>
      <c r="F122" s="217" t="s">
        <v>80</v>
      </c>
      <c r="G122" s="217"/>
      <c r="H122" s="217"/>
      <c r="I122" s="237">
        <f>$I$119+$I$119*$I$120</f>
        <v>55.807499999999997</v>
      </c>
      <c r="J122" s="217" t="s">
        <v>12</v>
      </c>
      <c r="K122" s="217"/>
      <c r="L122" s="54"/>
      <c r="M122" s="32"/>
      <c r="N122" s="64" t="s">
        <v>61</v>
      </c>
      <c r="O122" s="64"/>
      <c r="P122" s="64"/>
      <c r="Q122" s="64"/>
      <c r="R122" s="64"/>
      <c r="S122" s="64"/>
      <c r="T122" s="64"/>
      <c r="U122" s="64"/>
      <c r="V122" s="32"/>
      <c r="W122" s="32"/>
      <c r="X122" s="26"/>
      <c r="Y122" s="22"/>
      <c r="Z122" s="20"/>
    </row>
    <row r="123" spans="1:26" ht="15" customHeight="1" x14ac:dyDescent="0.25">
      <c r="A123" s="20"/>
      <c r="B123" s="26"/>
      <c r="C123" s="22"/>
      <c r="D123" s="33"/>
      <c r="E123" s="33"/>
      <c r="F123" s="217"/>
      <c r="G123" s="217"/>
      <c r="H123" s="217"/>
      <c r="I123" s="238"/>
      <c r="J123" s="217"/>
      <c r="K123" s="217"/>
      <c r="L123" s="54"/>
      <c r="M123" s="33"/>
      <c r="N123" s="64" t="s">
        <v>91</v>
      </c>
      <c r="O123" s="64"/>
      <c r="P123" s="64"/>
      <c r="Q123" s="64"/>
      <c r="R123" s="64"/>
      <c r="S123" s="64"/>
      <c r="T123" s="64"/>
      <c r="U123" s="64"/>
      <c r="V123" s="33"/>
      <c r="W123" s="33"/>
      <c r="X123" s="26"/>
      <c r="Y123" s="22"/>
      <c r="Z123" s="20"/>
    </row>
    <row r="124" spans="1:26" ht="15" customHeight="1" thickBot="1" x14ac:dyDescent="0.3">
      <c r="A124" s="20"/>
      <c r="B124" s="26"/>
      <c r="C124" s="22"/>
      <c r="D124" s="33"/>
      <c r="E124" s="33"/>
      <c r="F124" s="53"/>
      <c r="G124" s="53"/>
      <c r="H124" s="53"/>
      <c r="I124" s="53"/>
      <c r="J124" s="53"/>
      <c r="K124" s="53"/>
      <c r="L124" s="54"/>
      <c r="M124" s="33"/>
      <c r="N124" s="64"/>
      <c r="O124" s="64"/>
      <c r="P124" s="64"/>
      <c r="Q124" s="64"/>
      <c r="R124" s="64"/>
      <c r="S124" s="64"/>
      <c r="T124" s="64"/>
      <c r="U124" s="64"/>
      <c r="V124" s="33"/>
      <c r="W124" s="33"/>
      <c r="X124" s="26"/>
      <c r="Y124" s="22"/>
      <c r="Z124" s="20"/>
    </row>
    <row r="125" spans="1:26" ht="15" customHeight="1" thickTop="1" x14ac:dyDescent="0.25">
      <c r="A125" s="20"/>
      <c r="B125" s="26"/>
      <c r="C125" s="22"/>
      <c r="D125" s="33"/>
      <c r="E125" s="33"/>
      <c r="F125" s="215"/>
      <c r="G125" s="215"/>
      <c r="H125" s="215"/>
      <c r="I125" s="93"/>
      <c r="J125" s="216"/>
      <c r="K125" s="217"/>
      <c r="L125" s="54"/>
      <c r="M125" s="33"/>
      <c r="N125" s="64"/>
      <c r="O125" s="64"/>
      <c r="P125" s="64"/>
      <c r="Q125" s="64"/>
      <c r="R125" s="64"/>
      <c r="S125" s="64"/>
      <c r="T125" s="64"/>
      <c r="U125" s="64"/>
      <c r="V125" s="33"/>
      <c r="W125" s="33"/>
      <c r="X125" s="26"/>
      <c r="Y125" s="22"/>
      <c r="Z125" s="20"/>
    </row>
    <row r="126" spans="1:26" ht="15" customHeight="1" thickBot="1" x14ac:dyDescent="0.3">
      <c r="A126" s="20"/>
      <c r="B126" s="26"/>
      <c r="C126" s="22"/>
      <c r="D126" s="33"/>
      <c r="E126" s="33"/>
      <c r="F126" s="215"/>
      <c r="G126" s="215"/>
      <c r="H126" s="215"/>
      <c r="I126" s="93"/>
      <c r="J126" s="216"/>
      <c r="K126" s="217"/>
      <c r="L126" s="54"/>
      <c r="M126" s="33"/>
      <c r="N126" s="33"/>
      <c r="O126" s="33"/>
      <c r="P126" s="215" t="s">
        <v>10</v>
      </c>
      <c r="Q126" s="231">
        <f>$U$88+$U$112+$U$117</f>
        <v>59.816754384960007</v>
      </c>
      <c r="R126" s="216" t="s">
        <v>13</v>
      </c>
      <c r="S126" s="216"/>
      <c r="T126" s="33"/>
      <c r="U126" s="33"/>
      <c r="V126" s="33"/>
      <c r="W126" s="33"/>
      <c r="X126" s="26"/>
      <c r="Y126" s="22"/>
      <c r="Z126" s="20"/>
    </row>
    <row r="127" spans="1:26" ht="15" customHeight="1" thickTop="1" x14ac:dyDescent="0.25">
      <c r="A127" s="20"/>
      <c r="B127" s="26"/>
      <c r="C127" s="22"/>
      <c r="D127" s="33"/>
      <c r="E127" s="33"/>
      <c r="F127" s="94" t="s">
        <v>65</v>
      </c>
      <c r="G127" s="63"/>
      <c r="H127" s="63"/>
      <c r="I127" s="63"/>
      <c r="J127" s="63"/>
      <c r="K127" s="63"/>
      <c r="L127" s="54"/>
      <c r="M127" s="33"/>
      <c r="N127" s="32"/>
      <c r="O127" s="32"/>
      <c r="P127" s="215"/>
      <c r="Q127" s="232"/>
      <c r="R127" s="216"/>
      <c r="S127" s="216"/>
      <c r="T127" s="33"/>
      <c r="U127" s="32"/>
      <c r="V127" s="33"/>
      <c r="W127" s="33"/>
      <c r="X127" s="26"/>
      <c r="Y127" s="22"/>
      <c r="Z127" s="20"/>
    </row>
    <row r="128" spans="1:26" ht="15" customHeight="1" thickBot="1" x14ac:dyDescent="0.3">
      <c r="A128" s="20"/>
      <c r="B128" s="26"/>
      <c r="C128" s="22"/>
      <c r="D128" s="33"/>
      <c r="E128" s="33"/>
      <c r="F128" s="33"/>
      <c r="G128" s="33"/>
      <c r="H128" s="33"/>
      <c r="I128" s="33"/>
      <c r="J128" s="33"/>
      <c r="K128" s="33"/>
      <c r="L128" s="54"/>
      <c r="M128" s="33"/>
      <c r="N128" s="53"/>
      <c r="O128" s="53"/>
      <c r="P128" s="53"/>
      <c r="Q128" s="53"/>
      <c r="R128" s="53"/>
      <c r="S128" s="53"/>
      <c r="T128" s="53"/>
      <c r="U128" s="53"/>
      <c r="V128" s="33"/>
      <c r="W128" s="33"/>
      <c r="X128" s="26"/>
      <c r="Y128" s="22"/>
      <c r="Z128" s="20"/>
    </row>
    <row r="129" spans="1:26" ht="15" customHeight="1" thickTop="1" x14ac:dyDescent="0.25">
      <c r="A129" s="20"/>
      <c r="B129" s="26"/>
      <c r="C129" s="22"/>
      <c r="D129" s="33"/>
      <c r="E129" s="33"/>
      <c r="F129" s="225" t="s">
        <v>2</v>
      </c>
      <c r="G129" s="225"/>
      <c r="H129" s="233"/>
      <c r="I129" s="221">
        <f>$I$13</f>
        <v>7.875</v>
      </c>
      <c r="J129" s="223" t="s">
        <v>6</v>
      </c>
      <c r="K129" s="33"/>
      <c r="L129" s="54"/>
      <c r="M129" s="33"/>
      <c r="N129" s="64"/>
      <c r="O129" s="64"/>
      <c r="P129" s="64"/>
      <c r="Q129" s="64"/>
      <c r="R129" s="64"/>
      <c r="S129" s="64"/>
      <c r="T129" s="64"/>
      <c r="U129" s="64"/>
      <c r="V129" s="33"/>
      <c r="W129" s="33"/>
      <c r="X129" s="26"/>
      <c r="Y129" s="22"/>
      <c r="Z129" s="20"/>
    </row>
    <row r="130" spans="1:26" ht="15" customHeight="1" x14ac:dyDescent="0.25">
      <c r="A130" s="20"/>
      <c r="B130" s="26"/>
      <c r="C130" s="22"/>
      <c r="D130" s="33"/>
      <c r="E130" s="33"/>
      <c r="F130" s="225"/>
      <c r="G130" s="225"/>
      <c r="H130" s="233"/>
      <c r="I130" s="280"/>
      <c r="J130" s="223"/>
      <c r="K130" s="33"/>
      <c r="L130" s="54"/>
      <c r="M130" s="33"/>
      <c r="N130" s="64"/>
      <c r="O130" s="64"/>
      <c r="P130" s="64"/>
      <c r="Q130" s="64"/>
      <c r="R130" s="64"/>
      <c r="S130" s="64"/>
      <c r="T130" s="64"/>
      <c r="U130" s="79"/>
      <c r="V130" s="33"/>
      <c r="W130" s="33"/>
      <c r="X130" s="26"/>
      <c r="Y130" s="22"/>
      <c r="Z130" s="20"/>
    </row>
    <row r="131" spans="1:26" ht="15" customHeight="1" x14ac:dyDescent="0.25">
      <c r="A131" s="20"/>
      <c r="B131" s="26"/>
      <c r="C131" s="22"/>
      <c r="D131" s="33"/>
      <c r="E131" s="33"/>
      <c r="F131" s="33"/>
      <c r="G131" s="33"/>
      <c r="H131" s="33"/>
      <c r="I131" s="95"/>
      <c r="J131" s="96"/>
      <c r="K131" s="32"/>
      <c r="L131" s="54"/>
      <c r="M131" s="33"/>
      <c r="N131" s="64"/>
      <c r="O131" s="64"/>
      <c r="P131" s="64"/>
      <c r="Q131" s="64"/>
      <c r="R131" s="64"/>
      <c r="S131" s="64"/>
      <c r="T131" s="64"/>
      <c r="U131" s="64"/>
      <c r="V131" s="33"/>
      <c r="W131" s="33"/>
      <c r="X131" s="26"/>
      <c r="Y131" s="22"/>
      <c r="Z131" s="20"/>
    </row>
    <row r="132" spans="1:26" ht="15" customHeight="1" x14ac:dyDescent="0.25">
      <c r="A132" s="20"/>
      <c r="B132" s="26"/>
      <c r="C132" s="22"/>
      <c r="D132" s="33"/>
      <c r="E132" s="33"/>
      <c r="F132" s="225" t="s">
        <v>4</v>
      </c>
      <c r="G132" s="225"/>
      <c r="H132" s="233"/>
      <c r="I132" s="234">
        <f>$I$17</f>
        <v>0.15</v>
      </c>
      <c r="J132" s="97"/>
      <c r="K132" s="32"/>
      <c r="L132" s="54"/>
      <c r="M132" s="33"/>
      <c r="N132" s="64"/>
      <c r="O132" s="64"/>
      <c r="P132" s="64"/>
      <c r="Q132" s="64"/>
      <c r="R132" s="64"/>
      <c r="S132" s="64"/>
      <c r="T132" s="64"/>
      <c r="U132" s="64"/>
      <c r="V132" s="33"/>
      <c r="W132" s="33"/>
      <c r="X132" s="26"/>
      <c r="Y132" s="22"/>
      <c r="Z132" s="20"/>
    </row>
    <row r="133" spans="1:26" ht="15" customHeight="1" x14ac:dyDescent="0.25">
      <c r="A133" s="20"/>
      <c r="B133" s="26"/>
      <c r="C133" s="22"/>
      <c r="D133" s="33"/>
      <c r="E133" s="33"/>
      <c r="F133" s="225"/>
      <c r="G133" s="225"/>
      <c r="H133" s="233"/>
      <c r="I133" s="235"/>
      <c r="J133" s="97"/>
      <c r="K133" s="32"/>
      <c r="L133" s="54"/>
      <c r="M133" s="33"/>
      <c r="N133" s="64"/>
      <c r="O133" s="64"/>
      <c r="P133" s="64"/>
      <c r="Q133" s="64"/>
      <c r="R133" s="64"/>
      <c r="S133" s="64"/>
      <c r="T133" s="64"/>
      <c r="U133" s="64"/>
      <c r="V133" s="33"/>
      <c r="W133" s="33"/>
      <c r="X133" s="26"/>
      <c r="Y133" s="22"/>
      <c r="Z133" s="20"/>
    </row>
    <row r="134" spans="1:26" ht="15" customHeight="1" x14ac:dyDescent="0.25">
      <c r="A134" s="20"/>
      <c r="B134" s="26"/>
      <c r="C134" s="22"/>
      <c r="D134" s="33"/>
      <c r="E134" s="33"/>
      <c r="F134" s="33"/>
      <c r="G134" s="33"/>
      <c r="H134" s="33"/>
      <c r="I134" s="95"/>
      <c r="J134" s="96"/>
      <c r="K134" s="32"/>
      <c r="L134" s="54"/>
      <c r="M134" s="33"/>
      <c r="N134" s="64"/>
      <c r="O134" s="64"/>
      <c r="P134" s="64"/>
      <c r="Q134" s="64"/>
      <c r="R134" s="64"/>
      <c r="S134" s="64"/>
      <c r="T134" s="64"/>
      <c r="U134" s="79"/>
      <c r="V134" s="33"/>
      <c r="W134" s="33"/>
      <c r="X134" s="26"/>
      <c r="Y134" s="22"/>
      <c r="Z134" s="20"/>
    </row>
    <row r="135" spans="1:26" ht="15" customHeight="1" x14ac:dyDescent="0.25">
      <c r="A135" s="20"/>
      <c r="B135" s="26"/>
      <c r="C135" s="22"/>
      <c r="D135" s="33"/>
      <c r="E135" s="33"/>
      <c r="F135" s="225" t="s">
        <v>5</v>
      </c>
      <c r="G135" s="225"/>
      <c r="H135" s="233"/>
      <c r="I135" s="236">
        <f>$I$19</f>
        <v>20</v>
      </c>
      <c r="J135" s="223" t="s">
        <v>8</v>
      </c>
      <c r="K135" s="32"/>
      <c r="L135" s="54"/>
      <c r="M135" s="33"/>
      <c r="N135" s="33"/>
      <c r="O135" s="33"/>
      <c r="P135" s="33"/>
      <c r="Q135" s="33"/>
      <c r="R135" s="33"/>
      <c r="S135" s="33"/>
      <c r="T135" s="33"/>
      <c r="U135" s="33"/>
      <c r="V135" s="33"/>
      <c r="W135" s="33"/>
      <c r="X135" s="26"/>
      <c r="Y135" s="22"/>
      <c r="Z135" s="20"/>
    </row>
    <row r="136" spans="1:26" ht="15" customHeight="1" x14ac:dyDescent="0.25">
      <c r="A136" s="20"/>
      <c r="B136" s="26"/>
      <c r="C136" s="22"/>
      <c r="D136" s="33"/>
      <c r="E136" s="33"/>
      <c r="F136" s="225"/>
      <c r="G136" s="225"/>
      <c r="H136" s="233"/>
      <c r="I136" s="222"/>
      <c r="J136" s="223"/>
      <c r="K136" s="32"/>
      <c r="L136" s="54"/>
      <c r="M136" s="33"/>
      <c r="N136" s="33"/>
      <c r="O136" s="33"/>
      <c r="P136" s="33"/>
      <c r="Q136" s="33"/>
      <c r="R136" s="33"/>
      <c r="S136" s="33"/>
      <c r="T136" s="33"/>
      <c r="U136" s="64"/>
      <c r="V136" s="33"/>
      <c r="W136" s="33"/>
      <c r="X136" s="26"/>
      <c r="Y136" s="22"/>
      <c r="Z136" s="20"/>
    </row>
    <row r="137" spans="1:26" ht="15" customHeight="1" x14ac:dyDescent="0.25">
      <c r="A137" s="20"/>
      <c r="B137" s="26"/>
      <c r="C137" s="22"/>
      <c r="D137" s="33"/>
      <c r="E137" s="33"/>
      <c r="F137" s="33"/>
      <c r="G137" s="33"/>
      <c r="H137" s="33"/>
      <c r="I137" s="33"/>
      <c r="J137" s="33"/>
      <c r="K137" s="33"/>
      <c r="L137" s="54"/>
      <c r="M137" s="33"/>
      <c r="N137" s="64"/>
      <c r="O137" s="64"/>
      <c r="P137" s="64"/>
      <c r="Q137" s="64"/>
      <c r="R137" s="64"/>
      <c r="S137" s="64"/>
      <c r="T137" s="64"/>
      <c r="U137" s="64"/>
      <c r="V137" s="33"/>
      <c r="W137" s="33"/>
      <c r="X137" s="26"/>
      <c r="Y137" s="22"/>
      <c r="Z137" s="20"/>
    </row>
    <row r="138" spans="1:26" ht="15" customHeight="1" x14ac:dyDescent="0.25">
      <c r="A138" s="20"/>
      <c r="B138" s="26"/>
      <c r="C138" s="22"/>
      <c r="D138" s="33"/>
      <c r="E138" s="33"/>
      <c r="F138" s="33"/>
      <c r="G138" s="33"/>
      <c r="H138" s="33"/>
      <c r="I138" s="33"/>
      <c r="J138" s="33"/>
      <c r="K138" s="33"/>
      <c r="L138" s="54"/>
      <c r="M138" s="33"/>
      <c r="N138" s="64"/>
      <c r="O138" s="64"/>
      <c r="P138" s="64"/>
      <c r="Q138" s="64"/>
      <c r="R138" s="64"/>
      <c r="S138" s="64"/>
      <c r="T138" s="64"/>
      <c r="U138" s="64"/>
      <c r="V138" s="33"/>
      <c r="W138" s="33"/>
      <c r="X138" s="26"/>
      <c r="Y138" s="22"/>
      <c r="Z138" s="20"/>
    </row>
    <row r="139" spans="1:26" ht="15" customHeight="1" x14ac:dyDescent="0.25">
      <c r="A139" s="20"/>
      <c r="B139" s="26"/>
      <c r="C139" s="22"/>
      <c r="D139" s="33"/>
      <c r="E139" s="33"/>
      <c r="F139" s="33"/>
      <c r="G139" s="33"/>
      <c r="H139" s="33"/>
      <c r="I139" s="33"/>
      <c r="J139" s="33"/>
      <c r="K139" s="33"/>
      <c r="L139" s="54"/>
      <c r="M139" s="33"/>
      <c r="N139" s="33"/>
      <c r="O139" s="33"/>
      <c r="P139" s="33"/>
      <c r="Q139" s="33"/>
      <c r="R139" s="33"/>
      <c r="S139" s="33"/>
      <c r="T139" s="33"/>
      <c r="U139" s="33"/>
      <c r="V139" s="33"/>
      <c r="W139" s="33"/>
      <c r="X139" s="26"/>
      <c r="Y139" s="22"/>
      <c r="Z139" s="20"/>
    </row>
    <row r="140" spans="1:26" ht="15" customHeight="1" x14ac:dyDescent="0.25">
      <c r="A140" s="20"/>
      <c r="B140" s="26"/>
      <c r="C140" s="22"/>
      <c r="D140" s="33"/>
      <c r="E140" s="33"/>
      <c r="F140" s="215" t="s">
        <v>65</v>
      </c>
      <c r="G140" s="215"/>
      <c r="H140" s="215"/>
      <c r="I140" s="278">
        <f>PMT(I132,I135,-I122*1000/I129)</f>
        <v>1132.1762869420384</v>
      </c>
      <c r="J140" s="228" t="s">
        <v>72</v>
      </c>
      <c r="K140" s="217"/>
      <c r="L140" s="54"/>
      <c r="M140" s="33"/>
      <c r="N140" s="64"/>
      <c r="O140" s="64"/>
      <c r="P140" s="98"/>
      <c r="Q140" s="99"/>
      <c r="R140" s="98"/>
      <c r="S140" s="98"/>
      <c r="T140" s="64"/>
      <c r="U140" s="64"/>
      <c r="V140" s="33"/>
      <c r="W140" s="33"/>
      <c r="X140" s="26"/>
      <c r="Y140" s="22"/>
      <c r="Z140" s="20"/>
    </row>
    <row r="141" spans="1:26" ht="15" customHeight="1" x14ac:dyDescent="0.25">
      <c r="A141" s="20"/>
      <c r="B141" s="22"/>
      <c r="C141" s="29"/>
      <c r="D141" s="32"/>
      <c r="E141" s="32"/>
      <c r="F141" s="215"/>
      <c r="G141" s="215"/>
      <c r="H141" s="215"/>
      <c r="I141" s="279"/>
      <c r="J141" s="228"/>
      <c r="K141" s="217"/>
      <c r="L141" s="54"/>
      <c r="M141" s="32"/>
      <c r="N141" s="64"/>
      <c r="O141" s="64"/>
      <c r="P141" s="98"/>
      <c r="Q141" s="99"/>
      <c r="R141" s="98"/>
      <c r="S141" s="98"/>
      <c r="T141" s="64"/>
      <c r="U141" s="64"/>
      <c r="V141" s="32"/>
      <c r="W141" s="32"/>
      <c r="X141" s="26"/>
      <c r="Y141" s="22"/>
      <c r="Z141" s="20"/>
    </row>
    <row r="142" spans="1:26" ht="15" customHeight="1" thickBot="1" x14ac:dyDescent="0.3">
      <c r="A142" s="20"/>
      <c r="B142" s="22"/>
      <c r="C142" s="29"/>
      <c r="D142" s="32"/>
      <c r="E142" s="32"/>
      <c r="F142" s="53"/>
      <c r="G142" s="53"/>
      <c r="H142" s="53"/>
      <c r="I142" s="77"/>
      <c r="J142" s="53"/>
      <c r="K142" s="53"/>
      <c r="L142" s="54"/>
      <c r="M142" s="32"/>
      <c r="N142" s="64"/>
      <c r="O142" s="64"/>
      <c r="P142" s="64"/>
      <c r="Q142" s="64"/>
      <c r="R142" s="64"/>
      <c r="S142" s="64"/>
      <c r="T142" s="64"/>
      <c r="U142" s="64"/>
      <c r="V142" s="32"/>
      <c r="W142" s="32"/>
      <c r="X142" s="26"/>
      <c r="Y142" s="22"/>
      <c r="Z142" s="20"/>
    </row>
    <row r="143" spans="1:26" ht="15" customHeight="1" thickTop="1" x14ac:dyDescent="0.25">
      <c r="A143" s="20"/>
      <c r="B143" s="22"/>
      <c r="C143" s="29"/>
      <c r="D143" s="32"/>
      <c r="E143" s="32"/>
      <c r="F143" s="100"/>
      <c r="G143" s="100"/>
      <c r="H143" s="100"/>
      <c r="I143" s="93"/>
      <c r="J143" s="100"/>
      <c r="K143" s="101"/>
      <c r="L143" s="54"/>
      <c r="M143" s="32"/>
      <c r="N143" s="33"/>
      <c r="O143" s="33"/>
      <c r="P143" s="33"/>
      <c r="Q143" s="33"/>
      <c r="R143" s="33"/>
      <c r="S143" s="33"/>
      <c r="T143" s="33"/>
      <c r="U143" s="33"/>
      <c r="V143" s="32"/>
      <c r="W143" s="32"/>
      <c r="X143" s="26"/>
      <c r="Y143" s="22"/>
      <c r="Z143" s="20"/>
    </row>
    <row r="144" spans="1:26" ht="15" customHeight="1" x14ac:dyDescent="0.25">
      <c r="A144" s="20"/>
      <c r="B144" s="22"/>
      <c r="C144" s="29"/>
      <c r="D144" s="32"/>
      <c r="E144" s="32"/>
      <c r="F144" s="100"/>
      <c r="G144" s="100"/>
      <c r="H144" s="100"/>
      <c r="I144" s="93"/>
      <c r="J144" s="100"/>
      <c r="K144" s="101"/>
      <c r="L144" s="54"/>
      <c r="M144" s="32"/>
      <c r="N144" s="33"/>
      <c r="O144" s="33"/>
      <c r="P144" s="33"/>
      <c r="Q144" s="33"/>
      <c r="R144" s="33"/>
      <c r="S144" s="33"/>
      <c r="T144" s="33"/>
      <c r="U144" s="33"/>
      <c r="V144" s="32"/>
      <c r="W144" s="32"/>
      <c r="X144" s="26"/>
      <c r="Y144" s="22"/>
      <c r="Z144" s="20"/>
    </row>
    <row r="145" spans="1:26" ht="15" customHeight="1" x14ac:dyDescent="0.25">
      <c r="A145" s="20"/>
      <c r="B145" s="22"/>
      <c r="C145" s="29"/>
      <c r="D145" s="32"/>
      <c r="E145" s="32"/>
      <c r="F145" s="32"/>
      <c r="G145" s="32"/>
      <c r="H145" s="32"/>
      <c r="I145" s="32"/>
      <c r="J145" s="32"/>
      <c r="K145" s="32"/>
      <c r="L145" s="54"/>
      <c r="M145" s="32"/>
      <c r="N145" s="33"/>
      <c r="O145" s="33"/>
      <c r="P145" s="33"/>
      <c r="Q145" s="33"/>
      <c r="R145" s="33"/>
      <c r="S145" s="33"/>
      <c r="T145" s="33"/>
      <c r="U145" s="33"/>
      <c r="V145" s="32"/>
      <c r="W145" s="32"/>
      <c r="X145" s="26"/>
      <c r="Y145" s="22"/>
      <c r="Z145" s="20"/>
    </row>
    <row r="146" spans="1:26" ht="15" customHeight="1" x14ac:dyDescent="0.25">
      <c r="A146" s="20"/>
      <c r="B146" s="22"/>
      <c r="C146" s="29"/>
      <c r="D146" s="32"/>
      <c r="E146" s="32"/>
      <c r="F146" s="32"/>
      <c r="G146" s="32"/>
      <c r="H146" s="32"/>
      <c r="I146" s="32"/>
      <c r="J146" s="32"/>
      <c r="K146" s="32"/>
      <c r="L146" s="54"/>
      <c r="M146" s="32"/>
      <c r="N146" s="33"/>
      <c r="O146" s="33"/>
      <c r="P146" s="33"/>
      <c r="Q146" s="33"/>
      <c r="R146" s="33"/>
      <c r="S146" s="33"/>
      <c r="T146" s="33"/>
      <c r="U146" s="33"/>
      <c r="V146" s="32"/>
      <c r="W146" s="32"/>
      <c r="X146" s="26"/>
      <c r="Y146" s="22"/>
      <c r="Z146" s="20"/>
    </row>
    <row r="147" spans="1:26" ht="3.75" customHeight="1" thickBot="1" x14ac:dyDescent="0.3">
      <c r="A147" s="20"/>
      <c r="B147" s="26"/>
      <c r="C147" s="30"/>
      <c r="D147" s="24"/>
      <c r="E147" s="24"/>
      <c r="F147" s="24"/>
      <c r="G147" s="24"/>
      <c r="H147" s="24"/>
      <c r="I147" s="24"/>
      <c r="J147" s="24"/>
      <c r="K147" s="24"/>
      <c r="L147" s="31"/>
      <c r="M147" s="24"/>
      <c r="N147" s="24"/>
      <c r="O147" s="24"/>
      <c r="P147" s="24"/>
      <c r="Q147" s="24"/>
      <c r="R147" s="24"/>
      <c r="S147" s="24"/>
      <c r="T147" s="24"/>
      <c r="U147" s="24"/>
      <c r="V147" s="24"/>
      <c r="W147" s="24"/>
      <c r="X147" s="31"/>
      <c r="Y147" s="22"/>
      <c r="Z147" s="20"/>
    </row>
    <row r="148" spans="1:26" ht="3.75" customHeight="1" thickTop="1" x14ac:dyDescent="0.25">
      <c r="A148" s="20"/>
      <c r="B148" s="26"/>
      <c r="C148" s="22"/>
      <c r="D148" s="22"/>
      <c r="E148" s="22"/>
      <c r="F148" s="22"/>
      <c r="G148" s="22"/>
      <c r="H148" s="22"/>
      <c r="I148" s="22"/>
      <c r="J148" s="22"/>
      <c r="K148" s="22"/>
      <c r="L148" s="22"/>
      <c r="M148" s="22"/>
      <c r="N148" s="22"/>
      <c r="O148" s="22"/>
      <c r="P148" s="22"/>
      <c r="Q148" s="22"/>
      <c r="R148" s="22"/>
      <c r="S148" s="22"/>
      <c r="T148" s="22"/>
      <c r="U148" s="22"/>
      <c r="V148" s="22"/>
      <c r="W148" s="22"/>
      <c r="X148" s="26"/>
      <c r="Y148" s="22"/>
      <c r="Z148" s="20"/>
    </row>
    <row r="149" spans="1:26" ht="15" customHeight="1" x14ac:dyDescent="0.25">
      <c r="A149" s="20"/>
      <c r="B149" s="26"/>
      <c r="C149" s="25"/>
      <c r="D149" s="22"/>
      <c r="E149" s="22"/>
      <c r="F149" s="22"/>
      <c r="G149" s="22"/>
      <c r="H149" s="22"/>
      <c r="I149" s="22"/>
      <c r="J149" s="22"/>
      <c r="K149" s="22"/>
      <c r="L149" s="22"/>
      <c r="M149" s="22"/>
      <c r="N149" s="22"/>
      <c r="O149" s="22"/>
      <c r="P149" s="22"/>
      <c r="Q149" s="22"/>
      <c r="R149" s="22"/>
      <c r="S149" s="22"/>
      <c r="T149" s="22"/>
      <c r="U149" s="22"/>
      <c r="V149" s="22"/>
      <c r="W149" s="22"/>
      <c r="X149" s="26"/>
      <c r="Y149" s="22"/>
      <c r="Z149" s="20"/>
    </row>
    <row r="150" spans="1:26" ht="15" customHeight="1" x14ac:dyDescent="0.25">
      <c r="A150" s="20"/>
      <c r="B150" s="26"/>
      <c r="C150" s="25"/>
      <c r="D150" s="28" t="s">
        <v>64</v>
      </c>
      <c r="E150" s="22"/>
      <c r="F150" s="22"/>
      <c r="G150" s="22"/>
      <c r="H150" s="22"/>
      <c r="I150" s="22"/>
      <c r="J150" s="22"/>
      <c r="K150" s="22"/>
      <c r="L150" s="22"/>
      <c r="M150" s="22"/>
      <c r="N150" s="22"/>
      <c r="O150" s="22"/>
      <c r="P150" s="22"/>
      <c r="Q150" s="22"/>
      <c r="R150" s="22"/>
      <c r="S150" s="22"/>
      <c r="T150" s="25"/>
      <c r="U150" s="22"/>
      <c r="V150" s="22"/>
      <c r="W150" s="22"/>
      <c r="X150" s="26"/>
      <c r="Y150" s="22"/>
      <c r="Z150" s="20"/>
    </row>
    <row r="151" spans="1:26" ht="15" customHeight="1" x14ac:dyDescent="0.25">
      <c r="A151" s="20"/>
      <c r="B151" s="26"/>
      <c r="C151" s="25"/>
      <c r="D151" s="22"/>
      <c r="E151" s="22"/>
      <c r="F151" s="22"/>
      <c r="G151" s="22"/>
      <c r="H151" s="22"/>
      <c r="I151" s="22"/>
      <c r="J151" s="22"/>
      <c r="K151" s="22"/>
      <c r="L151" s="22"/>
      <c r="M151" s="22"/>
      <c r="N151" s="22"/>
      <c r="O151" s="22"/>
      <c r="P151" s="22"/>
      <c r="Q151" s="22"/>
      <c r="R151" s="22"/>
      <c r="S151" s="22"/>
      <c r="T151" s="22"/>
      <c r="U151" s="22"/>
      <c r="V151" s="22"/>
      <c r="W151" s="22"/>
      <c r="X151" s="26"/>
      <c r="Y151" s="22"/>
      <c r="Z151" s="20"/>
    </row>
    <row r="152" spans="1:26" ht="3.75" customHeight="1" thickBot="1" x14ac:dyDescent="0.3">
      <c r="A152" s="20"/>
      <c r="B152" s="26"/>
      <c r="C152" s="30"/>
      <c r="D152" s="24"/>
      <c r="E152" s="24"/>
      <c r="F152" s="24"/>
      <c r="G152" s="24"/>
      <c r="H152" s="24"/>
      <c r="I152" s="24"/>
      <c r="J152" s="24"/>
      <c r="K152" s="24"/>
      <c r="L152" s="24"/>
      <c r="M152" s="24"/>
      <c r="N152" s="24"/>
      <c r="O152" s="24"/>
      <c r="P152" s="24"/>
      <c r="Q152" s="24"/>
      <c r="R152" s="24"/>
      <c r="S152" s="24"/>
      <c r="T152" s="24"/>
      <c r="U152" s="24"/>
      <c r="V152" s="24"/>
      <c r="W152" s="24"/>
      <c r="X152" s="31"/>
      <c r="Y152" s="22"/>
      <c r="Z152" s="20"/>
    </row>
    <row r="153" spans="1:26" ht="3.75" customHeight="1" thickTop="1" x14ac:dyDescent="0.25">
      <c r="A153" s="20"/>
      <c r="B153" s="26"/>
      <c r="C153" s="22"/>
      <c r="D153" s="22"/>
      <c r="E153" s="22"/>
      <c r="F153" s="22"/>
      <c r="G153" s="22"/>
      <c r="H153" s="22"/>
      <c r="I153" s="22"/>
      <c r="J153" s="22"/>
      <c r="K153" s="22"/>
      <c r="L153" s="22"/>
      <c r="M153" s="22"/>
      <c r="N153" s="22"/>
      <c r="O153" s="22"/>
      <c r="P153" s="22"/>
      <c r="Q153" s="22"/>
      <c r="R153" s="22"/>
      <c r="S153" s="22"/>
      <c r="T153" s="22"/>
      <c r="U153" s="22"/>
      <c r="V153" s="22"/>
      <c r="W153" s="22"/>
      <c r="X153" s="26"/>
      <c r="Y153" s="22"/>
      <c r="Z153" s="20"/>
    </row>
    <row r="154" spans="1:26" ht="15" customHeight="1" thickBot="1" x14ac:dyDescent="0.3">
      <c r="A154" s="20"/>
      <c r="B154" s="26"/>
      <c r="C154" s="25"/>
      <c r="D154" s="33"/>
      <c r="E154" s="33"/>
      <c r="F154" s="53"/>
      <c r="G154" s="53"/>
      <c r="H154" s="53"/>
      <c r="I154" s="53"/>
      <c r="J154" s="53"/>
      <c r="K154" s="53"/>
      <c r="L154" s="33"/>
      <c r="M154" s="33"/>
      <c r="N154" s="53"/>
      <c r="O154" s="53"/>
      <c r="P154" s="53"/>
      <c r="Q154" s="53"/>
      <c r="R154" s="53"/>
      <c r="S154" s="53"/>
      <c r="T154" s="53"/>
      <c r="U154" s="53"/>
      <c r="V154" s="33"/>
      <c r="W154" s="33"/>
      <c r="X154" s="26"/>
      <c r="Y154" s="22"/>
      <c r="Z154" s="20"/>
    </row>
    <row r="155" spans="1:26" ht="15" customHeight="1" thickTop="1" x14ac:dyDescent="0.25">
      <c r="A155" s="20"/>
      <c r="B155" s="26"/>
      <c r="C155" s="25"/>
      <c r="D155" s="33"/>
      <c r="E155" s="33"/>
      <c r="F155" s="33" t="s">
        <v>47</v>
      </c>
      <c r="G155" s="33"/>
      <c r="H155" s="33"/>
      <c r="I155" s="163">
        <f>($T$85+$T$86)*1000/$I$13</f>
        <v>6099.6087974603179</v>
      </c>
      <c r="J155" s="33" t="str">
        <f>CONCATENATE("USD/ton ",$H$10)</f>
        <v>USD/ton Carvone</v>
      </c>
      <c r="K155" s="33"/>
      <c r="L155" s="33"/>
      <c r="M155" s="33"/>
      <c r="N155" s="187" t="s">
        <v>103</v>
      </c>
      <c r="O155" s="187"/>
      <c r="P155" s="158"/>
      <c r="Q155" s="161" t="s">
        <v>9</v>
      </c>
      <c r="R155" s="161" t="s">
        <v>10</v>
      </c>
      <c r="S155" s="161"/>
      <c r="T155" s="187" t="s">
        <v>102</v>
      </c>
      <c r="U155" s="187"/>
      <c r="V155" s="159"/>
      <c r="W155" s="33"/>
      <c r="X155" s="26"/>
      <c r="Y155" s="22"/>
      <c r="Z155" s="20"/>
    </row>
    <row r="156" spans="1:26" ht="15" customHeight="1" x14ac:dyDescent="0.25">
      <c r="A156" s="20"/>
      <c r="B156" s="26"/>
      <c r="C156" s="25"/>
      <c r="D156" s="33"/>
      <c r="E156" s="33"/>
      <c r="F156" s="33" t="s">
        <v>46</v>
      </c>
      <c r="G156" s="33"/>
      <c r="H156" s="33"/>
      <c r="I156" s="102">
        <f>$T$87*1000/$I$13</f>
        <v>0</v>
      </c>
      <c r="J156" s="33" t="str">
        <f>CONCATENATE("USD/ton ",$H$10)</f>
        <v>USD/ton Carvone</v>
      </c>
      <c r="K156" s="33"/>
      <c r="L156" s="33"/>
      <c r="M156" s="33"/>
      <c r="N156" s="203" t="s">
        <v>107</v>
      </c>
      <c r="O156" s="203"/>
      <c r="P156" s="162"/>
      <c r="Q156" s="188" t="s">
        <v>12</v>
      </c>
      <c r="R156" s="188"/>
      <c r="S156" s="84"/>
      <c r="T156" s="84" t="s">
        <v>72</v>
      </c>
      <c r="U156" s="157" t="s">
        <v>104</v>
      </c>
      <c r="V156" s="160"/>
      <c r="W156" s="33"/>
      <c r="X156" s="26"/>
      <c r="Y156" s="22"/>
      <c r="Z156" s="20"/>
    </row>
    <row r="157" spans="1:26" ht="15" customHeight="1" x14ac:dyDescent="0.25">
      <c r="A157" s="20"/>
      <c r="B157" s="26"/>
      <c r="C157" s="25"/>
      <c r="D157" s="33"/>
      <c r="E157" s="33"/>
      <c r="F157" s="33" t="s">
        <v>93</v>
      </c>
      <c r="G157" s="33"/>
      <c r="H157" s="33"/>
      <c r="I157" s="102">
        <f>($U$112+$U$117)*1000/$I$13</f>
        <v>1496.1695371377775</v>
      </c>
      <c r="J157" s="33" t="str">
        <f>CONCATENATE("USD/ton ",$H$10)</f>
        <v>USD/ton Carvone</v>
      </c>
      <c r="K157" s="33"/>
      <c r="L157" s="33"/>
      <c r="M157" s="33"/>
      <c r="N157" s="199" t="s">
        <v>105</v>
      </c>
      <c r="O157" s="208">
        <v>0.5</v>
      </c>
      <c r="P157" s="204"/>
      <c r="Q157" s="189">
        <f>(1-O157)*I107</f>
        <v>26.574999999999999</v>
      </c>
      <c r="R157" s="189">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(1+Cost_GA_Sales_RD)</f>
        <v>55.100223384960003</v>
      </c>
      <c r="S157" s="190"/>
      <c r="T157" s="192">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Cost_GA_Sales_R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1000)/Cost_Desired_Capacity+$I$155+$I$156+PMT($I$132,$I$135,(-Q157*1000)*(1+Cost_Additional_Capital_Cost)/$I$129)</f>
        <v>7562.9419066405435</v>
      </c>
      <c r="U157" s="193">
        <f>ABS(T157-$I$160)/$I$160</f>
        <v>0.13348061091248112</v>
      </c>
      <c r="V157" s="194"/>
      <c r="W157" s="33"/>
      <c r="X157" s="26"/>
      <c r="Y157" s="22"/>
      <c r="Z157" s="20"/>
    </row>
    <row r="158" spans="1:26" ht="15" customHeight="1" x14ac:dyDescent="0.25">
      <c r="A158" s="20"/>
      <c r="B158" s="26"/>
      <c r="C158" s="25"/>
      <c r="D158" s="33"/>
      <c r="E158" s="33"/>
      <c r="F158" s="33" t="s">
        <v>65</v>
      </c>
      <c r="G158" s="33"/>
      <c r="H158" s="33"/>
      <c r="I158" s="102">
        <f>$I$140</f>
        <v>1132.1762869420384</v>
      </c>
      <c r="J158" s="33" t="str">
        <f>CONCATENATE("USD/ton ",$H$10)</f>
        <v>USD/ton Carvone</v>
      </c>
      <c r="K158" s="33"/>
      <c r="L158" s="33"/>
      <c r="M158" s="33"/>
      <c r="N158" s="200"/>
      <c r="O158" s="209"/>
      <c r="P158" s="205"/>
      <c r="Q158" s="189"/>
      <c r="R158" s="189"/>
      <c r="S158" s="191"/>
      <c r="T158" s="192"/>
      <c r="U158" s="193"/>
      <c r="V158" s="194"/>
      <c r="W158" s="33"/>
      <c r="X158" s="26"/>
      <c r="Y158" s="22"/>
      <c r="Z158" s="20"/>
    </row>
    <row r="159" spans="1:26" ht="15" customHeight="1" x14ac:dyDescent="0.25">
      <c r="A159" s="20"/>
      <c r="B159" s="26"/>
      <c r="C159" s="25"/>
      <c r="D159" s="33"/>
      <c r="E159" s="33"/>
      <c r="F159" s="33"/>
      <c r="G159" s="33"/>
      <c r="H159" s="33"/>
      <c r="I159" s="33"/>
      <c r="J159" s="33"/>
      <c r="K159" s="33"/>
      <c r="L159" s="33"/>
      <c r="M159" s="33"/>
      <c r="N159" s="201" t="s">
        <v>106</v>
      </c>
      <c r="O159" s="210">
        <v>1</v>
      </c>
      <c r="P159" s="206"/>
      <c r="Q159" s="189">
        <f>(1+O159)*I107</f>
        <v>106.3</v>
      </c>
      <c r="R159" s="189">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(1+Cost_GA_Sales_RD)</f>
        <v>69.249816384959985</v>
      </c>
      <c r="S159" s="190"/>
      <c r="T159" s="192">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Cost_GA_Sales_R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1000)/Cost_Desired_Capacity+$I$155+$I$156+PMT($I$132,$I$135,(-Q159*1000)*(1+Cost_Additional_Capital_Cost)/$I$129)</f>
        <v>11057.980051339315</v>
      </c>
      <c r="U159" s="193">
        <f>ABS(T159-$I$160)/$I$160</f>
        <v>0.2669612218249624</v>
      </c>
      <c r="V159" s="194"/>
      <c r="W159" s="33"/>
      <c r="X159" s="26"/>
      <c r="Y159" s="22"/>
      <c r="Z159" s="20"/>
    </row>
    <row r="160" spans="1:26" ht="15" customHeight="1" thickBot="1" x14ac:dyDescent="0.3">
      <c r="A160" s="20"/>
      <c r="B160" s="26"/>
      <c r="C160" s="25"/>
      <c r="D160" s="33"/>
      <c r="E160" s="33"/>
      <c r="F160" s="59" t="s">
        <v>11</v>
      </c>
      <c r="G160" s="59"/>
      <c r="H160" s="53"/>
      <c r="I160" s="164">
        <f>SUM(I155:I158)</f>
        <v>8727.9546215401333</v>
      </c>
      <c r="J160" s="59" t="str">
        <f>CONCATENATE("USD/ton ",$H$10)</f>
        <v>USD/ton Carvone</v>
      </c>
      <c r="K160" s="53"/>
      <c r="L160" s="33"/>
      <c r="M160" s="33"/>
      <c r="N160" s="202"/>
      <c r="O160" s="211"/>
      <c r="P160" s="207"/>
      <c r="Q160" s="198"/>
      <c r="R160" s="198"/>
      <c r="S160" s="197"/>
      <c r="T160" s="196"/>
      <c r="U160" s="195"/>
      <c r="V160" s="194"/>
      <c r="W160" s="33"/>
      <c r="X160" s="26"/>
      <c r="Y160" s="22"/>
      <c r="Z160" s="20"/>
    </row>
    <row r="161" spans="1:26" ht="15" customHeight="1" thickTop="1" x14ac:dyDescent="0.25">
      <c r="A161" s="20"/>
      <c r="B161" s="26"/>
      <c r="C161" s="22"/>
      <c r="D161" s="33"/>
      <c r="E161" s="33"/>
      <c r="F161" s="33"/>
      <c r="G161" s="33"/>
      <c r="H161" s="33"/>
      <c r="I161" s="33"/>
      <c r="J161" s="33"/>
      <c r="K161" s="33"/>
      <c r="L161" s="33"/>
      <c r="M161" s="33"/>
      <c r="N161" s="33"/>
      <c r="O161" s="33"/>
      <c r="P161" s="33"/>
      <c r="Q161" s="33"/>
      <c r="R161" s="33"/>
      <c r="S161" s="33"/>
      <c r="T161" s="33"/>
      <c r="U161" s="33"/>
      <c r="V161" s="33"/>
      <c r="W161" s="33"/>
      <c r="X161" s="26"/>
      <c r="Y161" s="22"/>
      <c r="Z161" s="20"/>
    </row>
    <row r="162" spans="1:26" ht="3.75" customHeight="1" thickBot="1" x14ac:dyDescent="0.3">
      <c r="A162" s="20"/>
      <c r="B162" s="26"/>
      <c r="C162" s="30"/>
      <c r="D162" s="24"/>
      <c r="E162" s="24"/>
      <c r="F162" s="24"/>
      <c r="G162" s="24"/>
      <c r="H162" s="24"/>
      <c r="I162" s="24"/>
      <c r="J162" s="24"/>
      <c r="K162" s="24"/>
      <c r="L162" s="24"/>
      <c r="M162" s="24"/>
      <c r="N162" s="24"/>
      <c r="O162" s="24"/>
      <c r="P162" s="24"/>
      <c r="Q162" s="24"/>
      <c r="R162" s="24"/>
      <c r="S162" s="24"/>
      <c r="T162" s="24"/>
      <c r="U162" s="24"/>
      <c r="V162" s="24"/>
      <c r="W162" s="24"/>
      <c r="X162" s="31"/>
      <c r="Y162" s="22"/>
      <c r="Z162" s="20"/>
    </row>
    <row r="163" spans="1:26" ht="3.75" customHeight="1" thickTop="1" x14ac:dyDescent="0.25">
      <c r="A163" s="20"/>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0"/>
    </row>
    <row r="164" spans="1:26" ht="7.5" customHeight="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sheetData>
  <sheetProtection algorithmName="SHA-512" hashValue="Wa+BXG2rmB1wSvgZ17rCrCKlwopUISeK0ScBwuKyPTlvgLv8bVq/IVPRR3ICK9nYopRrCD7f8htMsZVTT9yKZA==" saltValue="w2rzVaLUzN9UCgjUZYXBSQ==" spinCount="100000" sheet="1" objects="1" scenarios="1"/>
  <mergeCells count="162">
    <mergeCell ref="F140:H141"/>
    <mergeCell ref="I140:I141"/>
    <mergeCell ref="J140:K141"/>
    <mergeCell ref="F129:H130"/>
    <mergeCell ref="I129:I130"/>
    <mergeCell ref="J129:J130"/>
    <mergeCell ref="S84:U84"/>
    <mergeCell ref="S91:U91"/>
    <mergeCell ref="N93:O94"/>
    <mergeCell ref="N95:O96"/>
    <mergeCell ref="S93:S94"/>
    <mergeCell ref="S95:S96"/>
    <mergeCell ref="P126:P127"/>
    <mergeCell ref="Q126:Q127"/>
    <mergeCell ref="R126:S127"/>
    <mergeCell ref="F89:H90"/>
    <mergeCell ref="F87:H88"/>
    <mergeCell ref="I85:I86"/>
    <mergeCell ref="I87:I88"/>
    <mergeCell ref="I89:I90"/>
    <mergeCell ref="I91:I92"/>
    <mergeCell ref="F100:H101"/>
    <mergeCell ref="F107:H108"/>
    <mergeCell ref="I104:I105"/>
    <mergeCell ref="F13:H14"/>
    <mergeCell ref="F15:H16"/>
    <mergeCell ref="F17:H18"/>
    <mergeCell ref="F19:H20"/>
    <mergeCell ref="I13:I14"/>
    <mergeCell ref="J13:J14"/>
    <mergeCell ref="I15:I16"/>
    <mergeCell ref="J15:J16"/>
    <mergeCell ref="I17:I18"/>
    <mergeCell ref="J17:J18"/>
    <mergeCell ref="O13:P14"/>
    <mergeCell ref="O16:P17"/>
    <mergeCell ref="O19:P20"/>
    <mergeCell ref="N19:N20"/>
    <mergeCell ref="N16:N17"/>
    <mergeCell ref="I19:I20"/>
    <mergeCell ref="J19:J20"/>
    <mergeCell ref="L13:M14"/>
    <mergeCell ref="L16:M17"/>
    <mergeCell ref="L19:M20"/>
    <mergeCell ref="N13:N14"/>
    <mergeCell ref="S19:U20"/>
    <mergeCell ref="S16:U17"/>
    <mergeCell ref="S13:U14"/>
    <mergeCell ref="L45:N46"/>
    <mergeCell ref="O45:P46"/>
    <mergeCell ref="I59:J60"/>
    <mergeCell ref="L59:N60"/>
    <mergeCell ref="O59:P60"/>
    <mergeCell ref="F59:G60"/>
    <mergeCell ref="F31:F32"/>
    <mergeCell ref="I31:J32"/>
    <mergeCell ref="L31:N32"/>
    <mergeCell ref="O31:P32"/>
    <mergeCell ref="F45:F46"/>
    <mergeCell ref="I45:J46"/>
    <mergeCell ref="S33:T33"/>
    <mergeCell ref="S34:T34"/>
    <mergeCell ref="S35:T35"/>
    <mergeCell ref="S36:T36"/>
    <mergeCell ref="S37:T37"/>
    <mergeCell ref="S38:T38"/>
    <mergeCell ref="S39:T39"/>
    <mergeCell ref="Q33:R33"/>
    <mergeCell ref="Q34:R34"/>
    <mergeCell ref="I107:I108"/>
    <mergeCell ref="F132:H133"/>
    <mergeCell ref="I132:I133"/>
    <mergeCell ref="F135:H136"/>
    <mergeCell ref="I135:I136"/>
    <mergeCell ref="J135:J136"/>
    <mergeCell ref="F91:H92"/>
    <mergeCell ref="F122:H123"/>
    <mergeCell ref="I122:I123"/>
    <mergeCell ref="J122:K123"/>
    <mergeCell ref="Q35:R35"/>
    <mergeCell ref="Q36:R36"/>
    <mergeCell ref="Q37:R37"/>
    <mergeCell ref="Q38:R38"/>
    <mergeCell ref="S40:T40"/>
    <mergeCell ref="S41:T41"/>
    <mergeCell ref="Q47:R47"/>
    <mergeCell ref="S47:T47"/>
    <mergeCell ref="Q48:R48"/>
    <mergeCell ref="S48:T48"/>
    <mergeCell ref="Q39:R39"/>
    <mergeCell ref="Q40:R40"/>
    <mergeCell ref="Q41:R41"/>
    <mergeCell ref="Q52:R52"/>
    <mergeCell ref="S52:T52"/>
    <mergeCell ref="Q53:R53"/>
    <mergeCell ref="S53:T53"/>
    <mergeCell ref="Q54:R54"/>
    <mergeCell ref="S54:T54"/>
    <mergeCell ref="Q49:R49"/>
    <mergeCell ref="S49:T49"/>
    <mergeCell ref="Q50:R50"/>
    <mergeCell ref="S50:T50"/>
    <mergeCell ref="Q51:R51"/>
    <mergeCell ref="S51:T51"/>
    <mergeCell ref="Q63:R63"/>
    <mergeCell ref="S63:T63"/>
    <mergeCell ref="Q64:R64"/>
    <mergeCell ref="S64:T64"/>
    <mergeCell ref="Q65:R65"/>
    <mergeCell ref="S65:T65"/>
    <mergeCell ref="Q55:R55"/>
    <mergeCell ref="S55:T55"/>
    <mergeCell ref="Q61:R61"/>
    <mergeCell ref="S61:T61"/>
    <mergeCell ref="Q62:R62"/>
    <mergeCell ref="S62:T62"/>
    <mergeCell ref="Q69:R69"/>
    <mergeCell ref="S69:T69"/>
    <mergeCell ref="F125:H126"/>
    <mergeCell ref="J125:K126"/>
    <mergeCell ref="Q66:R66"/>
    <mergeCell ref="S66:T66"/>
    <mergeCell ref="Q67:R67"/>
    <mergeCell ref="S67:T67"/>
    <mergeCell ref="Q68:R68"/>
    <mergeCell ref="S68:T68"/>
    <mergeCell ref="I100:I101"/>
    <mergeCell ref="J100:J101"/>
    <mergeCell ref="I93:I94"/>
    <mergeCell ref="I95:I96"/>
    <mergeCell ref="I97:I98"/>
    <mergeCell ref="J85:J86"/>
    <mergeCell ref="J87:K88"/>
    <mergeCell ref="F93:H94"/>
    <mergeCell ref="F95:H96"/>
    <mergeCell ref="F97:H98"/>
    <mergeCell ref="F85:H86"/>
    <mergeCell ref="J104:K105"/>
    <mergeCell ref="J107:K108"/>
    <mergeCell ref="F104:H105"/>
    <mergeCell ref="N157:N158"/>
    <mergeCell ref="N159:N160"/>
    <mergeCell ref="N155:O155"/>
    <mergeCell ref="N156:O156"/>
    <mergeCell ref="Q157:Q158"/>
    <mergeCell ref="P157:P158"/>
    <mergeCell ref="P159:P160"/>
    <mergeCell ref="Q159:Q160"/>
    <mergeCell ref="O157:O158"/>
    <mergeCell ref="O159:O160"/>
    <mergeCell ref="T155:U155"/>
    <mergeCell ref="Q156:R156"/>
    <mergeCell ref="R157:R158"/>
    <mergeCell ref="S157:S158"/>
    <mergeCell ref="T157:T158"/>
    <mergeCell ref="U157:U158"/>
    <mergeCell ref="V157:V158"/>
    <mergeCell ref="V159:V160"/>
    <mergeCell ref="U159:U160"/>
    <mergeCell ref="T159:T160"/>
    <mergeCell ref="S159:S160"/>
    <mergeCell ref="R159:R160"/>
  </mergeCells>
  <pageMargins left="0.7" right="0.7" top="0.75" bottom="0.75" header="0.3" footer="0.3"/>
  <pageSetup paperSize="9" scale="50" orientation="portrait" r:id="rId1"/>
  <rowBreaks count="1" manualBreakCount="1">
    <brk id="73" max="26" man="1"/>
  </rowBreaks>
  <colBreaks count="1" manualBreakCount="1">
    <brk id="26" max="163" man="1"/>
  </colBreaks>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ISIPlanilha.UserRestore">
                <anchor moveWithCells="1">
                  <from>
                    <xdr:col>9</xdr:col>
                    <xdr:colOff>0</xdr:colOff>
                    <xdr:row>9</xdr:row>
                    <xdr:rowOff>0</xdr:rowOff>
                  </from>
                  <to>
                    <xdr:col>12</xdr:col>
                    <xdr:colOff>0</xdr:colOff>
                    <xdr:row>10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e"/>
  <dimension ref="A1:Z164"/>
  <sheetViews>
    <sheetView showGridLines="0" topLeftCell="A124" zoomScaleNormal="100" zoomScaleSheetLayoutView="100" workbookViewId="0">
      <selection activeCell="O161" sqref="O161"/>
    </sheetView>
  </sheetViews>
  <sheetFormatPr defaultRowHeight="15" x14ac:dyDescent="0.25"/>
  <cols>
    <col min="1" max="1" width="1.42578125" customWidth="1"/>
    <col min="2" max="3" width="0.7109375" customWidth="1"/>
    <col min="4" max="4" width="1.42578125" customWidth="1"/>
    <col min="12" max="12" width="9.140625" customWidth="1"/>
    <col min="23" max="23" width="1.42578125" customWidth="1"/>
    <col min="24" max="25" width="0.7109375" customWidth="1"/>
    <col min="26" max="26" width="1.42578125" customWidth="1"/>
  </cols>
  <sheetData>
    <row r="1" spans="1:26" ht="7.5" customHeight="1" x14ac:dyDescent="0.25">
      <c r="A1" s="20"/>
      <c r="B1" s="20"/>
      <c r="C1" s="21"/>
      <c r="D1" s="21"/>
      <c r="E1" s="21"/>
      <c r="F1" s="21"/>
      <c r="G1" s="21"/>
      <c r="H1" s="21"/>
      <c r="I1" s="21"/>
      <c r="J1" s="21"/>
      <c r="K1" s="21"/>
      <c r="L1" s="21"/>
      <c r="M1" s="21"/>
      <c r="N1" s="21"/>
      <c r="O1" s="21"/>
      <c r="P1" s="21"/>
      <c r="Q1" s="21"/>
      <c r="R1" s="21"/>
      <c r="S1" s="21"/>
      <c r="T1" s="21"/>
      <c r="U1" s="21"/>
      <c r="V1" s="21"/>
      <c r="W1" s="21"/>
      <c r="X1" s="21"/>
      <c r="Y1" s="21"/>
      <c r="Z1" s="20"/>
    </row>
    <row r="2" spans="1:26" ht="3.75" customHeight="1" thickBot="1" x14ac:dyDescent="0.3">
      <c r="A2" s="20"/>
      <c r="B2" s="22"/>
      <c r="C2" s="23"/>
      <c r="D2" s="24"/>
      <c r="E2" s="24"/>
      <c r="F2" s="24"/>
      <c r="G2" s="24"/>
      <c r="H2" s="24"/>
      <c r="I2" s="24"/>
      <c r="J2" s="24"/>
      <c r="K2" s="24"/>
      <c r="L2" s="24"/>
      <c r="M2" s="24"/>
      <c r="N2" s="24"/>
      <c r="O2" s="24"/>
      <c r="P2" s="24"/>
      <c r="Q2" s="24"/>
      <c r="R2" s="24"/>
      <c r="S2" s="24"/>
      <c r="T2" s="24"/>
      <c r="U2" s="24"/>
      <c r="V2" s="24"/>
      <c r="W2" s="24"/>
      <c r="X2" s="24"/>
      <c r="Y2" s="25"/>
      <c r="Z2" s="21"/>
    </row>
    <row r="3" spans="1:26" ht="3.75" customHeight="1" thickTop="1" x14ac:dyDescent="0.25">
      <c r="A3" s="20"/>
      <c r="B3" s="26"/>
      <c r="C3" s="27"/>
      <c r="D3" s="25"/>
      <c r="E3" s="27"/>
      <c r="F3" s="25"/>
      <c r="G3" s="25"/>
      <c r="H3" s="25"/>
      <c r="I3" s="25"/>
      <c r="J3" s="25"/>
      <c r="K3" s="25"/>
      <c r="L3" s="25"/>
      <c r="M3" s="25"/>
      <c r="N3" s="25"/>
      <c r="O3" s="25"/>
      <c r="P3" s="25"/>
      <c r="Q3" s="25"/>
      <c r="R3" s="25"/>
      <c r="S3" s="25"/>
      <c r="T3" s="25"/>
      <c r="U3" s="25"/>
      <c r="V3" s="25"/>
      <c r="W3" s="25"/>
      <c r="X3" s="26"/>
      <c r="Y3" s="22"/>
      <c r="Z3" s="20"/>
    </row>
    <row r="4" spans="1:26" ht="15" customHeight="1" x14ac:dyDescent="0.25">
      <c r="A4" s="20"/>
      <c r="B4" s="26"/>
      <c r="C4" s="22"/>
      <c r="D4" s="22"/>
      <c r="E4" s="22"/>
      <c r="F4" s="22"/>
      <c r="G4" s="22"/>
      <c r="H4" s="22"/>
      <c r="I4" s="22"/>
      <c r="J4" s="22"/>
      <c r="K4" s="22"/>
      <c r="L4" s="22"/>
      <c r="M4" s="22"/>
      <c r="N4" s="22"/>
      <c r="O4" s="22"/>
      <c r="P4" s="22"/>
      <c r="Q4" s="22"/>
      <c r="R4" s="22"/>
      <c r="S4" s="22"/>
      <c r="T4" s="22"/>
      <c r="U4" s="22"/>
      <c r="V4" s="22"/>
      <c r="W4" s="22"/>
      <c r="X4" s="26"/>
      <c r="Y4" s="22"/>
      <c r="Z4" s="20"/>
    </row>
    <row r="5" spans="1:26" ht="15" customHeight="1" x14ac:dyDescent="0.25">
      <c r="A5" s="20"/>
      <c r="B5" s="26"/>
      <c r="C5" s="22"/>
      <c r="D5" s="28" t="s">
        <v>0</v>
      </c>
      <c r="E5" s="22"/>
      <c r="F5" s="22"/>
      <c r="G5" s="22"/>
      <c r="H5" s="22"/>
      <c r="I5" s="22"/>
      <c r="J5" s="22"/>
      <c r="K5" s="22"/>
      <c r="L5" s="22"/>
      <c r="M5" s="22"/>
      <c r="N5" s="22"/>
      <c r="O5" s="22"/>
      <c r="P5" s="22"/>
      <c r="Q5" s="22"/>
      <c r="R5" s="22"/>
      <c r="S5" s="22"/>
      <c r="T5" s="22"/>
      <c r="U5" s="22"/>
      <c r="V5" s="22"/>
      <c r="W5" s="22"/>
      <c r="X5" s="26"/>
      <c r="Y5" s="22"/>
      <c r="Z5" s="20"/>
    </row>
    <row r="6" spans="1:26" ht="15" customHeight="1" x14ac:dyDescent="0.25">
      <c r="A6" s="20"/>
      <c r="B6" s="22"/>
      <c r="C6" s="29"/>
      <c r="D6" s="25"/>
      <c r="E6" s="25"/>
      <c r="F6" s="25"/>
      <c r="G6" s="25"/>
      <c r="H6" s="25"/>
      <c r="I6" s="25"/>
      <c r="J6" s="25"/>
      <c r="K6" s="25"/>
      <c r="L6" s="25"/>
      <c r="M6" s="25"/>
      <c r="N6" s="25"/>
      <c r="O6" s="25"/>
      <c r="P6" s="25"/>
      <c r="Q6" s="25"/>
      <c r="R6" s="25"/>
      <c r="S6" s="25"/>
      <c r="T6" s="25"/>
      <c r="U6" s="25"/>
      <c r="V6" s="25"/>
      <c r="W6" s="25"/>
      <c r="X6" s="26"/>
      <c r="Y6" s="22"/>
      <c r="Z6" s="20"/>
    </row>
    <row r="7" spans="1:26" ht="3.75" customHeight="1" thickBot="1" x14ac:dyDescent="0.3">
      <c r="A7" s="20"/>
      <c r="B7" s="26"/>
      <c r="C7" s="30"/>
      <c r="D7" s="24"/>
      <c r="E7" s="24"/>
      <c r="F7" s="24"/>
      <c r="G7" s="24"/>
      <c r="H7" s="24"/>
      <c r="I7" s="24"/>
      <c r="J7" s="24"/>
      <c r="K7" s="24"/>
      <c r="L7" s="24"/>
      <c r="M7" s="24"/>
      <c r="N7" s="24"/>
      <c r="O7" s="24"/>
      <c r="P7" s="24"/>
      <c r="Q7" s="24"/>
      <c r="R7" s="24"/>
      <c r="S7" s="24"/>
      <c r="T7" s="24"/>
      <c r="U7" s="24"/>
      <c r="V7" s="24"/>
      <c r="W7" s="24"/>
      <c r="X7" s="31"/>
      <c r="Y7" s="22"/>
      <c r="Z7" s="20"/>
    </row>
    <row r="8" spans="1:26" ht="3.75" customHeight="1" thickTop="1" x14ac:dyDescent="0.25">
      <c r="A8" s="20"/>
      <c r="B8" s="26"/>
      <c r="C8" s="22"/>
      <c r="D8" s="22"/>
      <c r="E8" s="22"/>
      <c r="F8" s="22"/>
      <c r="G8" s="22"/>
      <c r="H8" s="22"/>
      <c r="I8" s="22"/>
      <c r="J8" s="22"/>
      <c r="K8" s="22"/>
      <c r="L8" s="22"/>
      <c r="M8" s="22"/>
      <c r="N8" s="22"/>
      <c r="O8" s="22"/>
      <c r="P8" s="22"/>
      <c r="Q8" s="22"/>
      <c r="R8" s="22"/>
      <c r="S8" s="22"/>
      <c r="T8" s="22"/>
      <c r="U8" s="22"/>
      <c r="V8" s="22"/>
      <c r="W8" s="22"/>
      <c r="X8" s="26"/>
      <c r="Y8" s="22"/>
      <c r="Z8" s="20"/>
    </row>
    <row r="9" spans="1:26" ht="15" customHeight="1" x14ac:dyDescent="0.25">
      <c r="A9" s="20"/>
      <c r="B9" s="22"/>
      <c r="C9" s="29"/>
      <c r="D9" s="32"/>
      <c r="E9" s="32"/>
      <c r="F9" s="32"/>
      <c r="G9" s="32"/>
      <c r="H9" s="32"/>
      <c r="I9" s="32"/>
      <c r="J9" s="32"/>
      <c r="K9" s="32"/>
      <c r="L9" s="32"/>
      <c r="M9" s="32"/>
      <c r="N9" s="32"/>
      <c r="O9" s="32"/>
      <c r="P9" s="32"/>
      <c r="Q9" s="32"/>
      <c r="R9" s="32"/>
      <c r="S9" s="32"/>
      <c r="T9" s="32"/>
      <c r="U9" s="32"/>
      <c r="V9" s="32"/>
      <c r="W9" s="32"/>
      <c r="X9" s="26"/>
      <c r="Y9" s="22"/>
      <c r="Z9" s="20"/>
    </row>
    <row r="10" spans="1:26" ht="15" customHeight="1" x14ac:dyDescent="0.25">
      <c r="A10" s="20"/>
      <c r="B10" s="22"/>
      <c r="C10" s="29"/>
      <c r="D10" s="32"/>
      <c r="E10" s="33"/>
      <c r="F10" s="34" t="s">
        <v>1</v>
      </c>
      <c r="G10" s="35"/>
      <c r="H10" s="115" t="s">
        <v>118</v>
      </c>
      <c r="I10" s="32"/>
      <c r="J10" s="32"/>
      <c r="K10" s="32"/>
      <c r="L10" s="32"/>
      <c r="M10" s="32"/>
      <c r="N10" s="32"/>
      <c r="O10" s="32"/>
      <c r="P10" s="32"/>
      <c r="Q10" s="32"/>
      <c r="R10" s="32"/>
      <c r="S10" s="32"/>
      <c r="T10" s="32"/>
      <c r="U10" s="32"/>
      <c r="V10" s="32"/>
      <c r="W10" s="32"/>
      <c r="X10" s="26"/>
      <c r="Y10" s="22"/>
      <c r="Z10" s="20"/>
    </row>
    <row r="11" spans="1:26" ht="15" customHeight="1" x14ac:dyDescent="0.25">
      <c r="A11" s="20"/>
      <c r="B11" s="22"/>
      <c r="C11" s="29"/>
      <c r="D11" s="32"/>
      <c r="E11" s="33"/>
      <c r="F11" s="32"/>
      <c r="G11" s="32"/>
      <c r="H11" s="32"/>
      <c r="I11" s="32"/>
      <c r="J11" s="32"/>
      <c r="K11" s="32"/>
      <c r="L11" s="32"/>
      <c r="M11" s="32"/>
      <c r="N11" s="32"/>
      <c r="O11" s="32"/>
      <c r="P11" s="32"/>
      <c r="Q11" s="32"/>
      <c r="R11" s="32"/>
      <c r="S11" s="32"/>
      <c r="T11" s="32"/>
      <c r="U11" s="32"/>
      <c r="V11" s="32"/>
      <c r="W11" s="32"/>
      <c r="X11" s="26"/>
      <c r="Y11" s="22"/>
      <c r="Z11" s="20"/>
    </row>
    <row r="12" spans="1:26" x14ac:dyDescent="0.25">
      <c r="A12" s="20"/>
      <c r="B12" s="22"/>
      <c r="C12" s="29"/>
      <c r="D12" s="32"/>
      <c r="E12" s="33"/>
      <c r="F12" s="37"/>
      <c r="G12" s="35"/>
      <c r="H12" s="35"/>
      <c r="I12" s="35"/>
      <c r="J12" s="36"/>
      <c r="K12" s="32"/>
      <c r="L12" s="37" t="s">
        <v>22</v>
      </c>
      <c r="M12" s="35"/>
      <c r="N12" s="35"/>
      <c r="O12" s="35"/>
      <c r="P12" s="36"/>
      <c r="Q12" s="32"/>
      <c r="R12" s="103" t="s">
        <v>23</v>
      </c>
      <c r="S12" s="45"/>
      <c r="T12" s="45"/>
      <c r="U12" s="104"/>
      <c r="V12" s="32"/>
      <c r="W12" s="32"/>
      <c r="X12" s="26"/>
      <c r="Y12" s="22"/>
      <c r="Z12" s="20"/>
    </row>
    <row r="13" spans="1:26" ht="15" customHeight="1" x14ac:dyDescent="0.25">
      <c r="A13" s="20"/>
      <c r="B13" s="22"/>
      <c r="C13" s="29"/>
      <c r="D13" s="32"/>
      <c r="E13" s="33"/>
      <c r="F13" s="264" t="s">
        <v>2</v>
      </c>
      <c r="G13" s="265"/>
      <c r="H13" s="266"/>
      <c r="I13" s="303">
        <f>$I$85</f>
        <v>7.875</v>
      </c>
      <c r="J13" s="273" t="s">
        <v>6</v>
      </c>
      <c r="K13" s="32"/>
      <c r="L13" s="258" t="s">
        <v>9</v>
      </c>
      <c r="M13" s="259"/>
      <c r="N13" s="299">
        <f>I107</f>
        <v>53.15</v>
      </c>
      <c r="O13" s="245" t="s">
        <v>12</v>
      </c>
      <c r="P13" s="246"/>
      <c r="Q13" s="32"/>
      <c r="R13" s="323"/>
      <c r="S13" s="243" t="s">
        <v>68</v>
      </c>
      <c r="T13" s="243"/>
      <c r="U13" s="244"/>
      <c r="V13" s="32"/>
      <c r="W13" s="32"/>
      <c r="X13" s="26"/>
      <c r="Y13" s="22"/>
      <c r="Z13" s="20"/>
    </row>
    <row r="14" spans="1:26" ht="15" customHeight="1" x14ac:dyDescent="0.25">
      <c r="A14" s="20"/>
      <c r="B14" s="22"/>
      <c r="C14" s="29"/>
      <c r="D14" s="32"/>
      <c r="E14" s="33"/>
      <c r="F14" s="267"/>
      <c r="G14" s="226"/>
      <c r="H14" s="227"/>
      <c r="I14" s="304"/>
      <c r="J14" s="256"/>
      <c r="K14" s="32"/>
      <c r="L14" s="260"/>
      <c r="M14" s="261"/>
      <c r="N14" s="300"/>
      <c r="O14" s="228"/>
      <c r="P14" s="247"/>
      <c r="Q14" s="32"/>
      <c r="R14" s="324"/>
      <c r="S14" s="225"/>
      <c r="T14" s="225"/>
      <c r="U14" s="233"/>
      <c r="V14" s="32"/>
      <c r="W14" s="32"/>
      <c r="X14" s="26"/>
      <c r="Y14" s="22"/>
      <c r="Z14" s="20"/>
    </row>
    <row r="15" spans="1:26" ht="15" customHeight="1" x14ac:dyDescent="0.25">
      <c r="A15" s="20"/>
      <c r="B15" s="22"/>
      <c r="C15" s="29"/>
      <c r="D15" s="32"/>
      <c r="E15" s="33"/>
      <c r="F15" s="267" t="s">
        <v>3</v>
      </c>
      <c r="G15" s="226"/>
      <c r="H15" s="227"/>
      <c r="I15" s="297">
        <v>8000</v>
      </c>
      <c r="J15" s="256" t="s">
        <v>7</v>
      </c>
      <c r="K15" s="32"/>
      <c r="L15" s="41"/>
      <c r="M15" s="32"/>
      <c r="N15" s="32"/>
      <c r="O15" s="32"/>
      <c r="P15" s="39"/>
      <c r="Q15" s="32"/>
      <c r="R15" s="41"/>
      <c r="S15" s="80"/>
      <c r="T15" s="80"/>
      <c r="U15" s="105"/>
      <c r="V15" s="32"/>
      <c r="W15" s="32"/>
      <c r="X15" s="26"/>
      <c r="Y15" s="22"/>
      <c r="Z15" s="20"/>
    </row>
    <row r="16" spans="1:26" ht="15" customHeight="1" x14ac:dyDescent="0.25">
      <c r="A16" s="20"/>
      <c r="B16" s="22"/>
      <c r="C16" s="29"/>
      <c r="D16" s="32"/>
      <c r="E16" s="33"/>
      <c r="F16" s="267"/>
      <c r="G16" s="226"/>
      <c r="H16" s="227"/>
      <c r="I16" s="298"/>
      <c r="J16" s="256"/>
      <c r="K16" s="32"/>
      <c r="L16" s="260" t="s">
        <v>10</v>
      </c>
      <c r="M16" s="261"/>
      <c r="N16" s="299">
        <f>$Q$126</f>
        <v>59.816754384960007</v>
      </c>
      <c r="O16" s="228" t="s">
        <v>13</v>
      </c>
      <c r="P16" s="247"/>
      <c r="Q16" s="32"/>
      <c r="R16" s="325"/>
      <c r="S16" s="225" t="s">
        <v>21</v>
      </c>
      <c r="T16" s="225"/>
      <c r="U16" s="233"/>
      <c r="V16" s="32"/>
      <c r="W16" s="32"/>
      <c r="X16" s="26"/>
      <c r="Y16" s="22"/>
      <c r="Z16" s="20"/>
    </row>
    <row r="17" spans="1:26" ht="15" customHeight="1" x14ac:dyDescent="0.25">
      <c r="A17" s="20"/>
      <c r="B17" s="22"/>
      <c r="C17" s="29"/>
      <c r="D17" s="32"/>
      <c r="E17" s="33"/>
      <c r="F17" s="267" t="s">
        <v>4</v>
      </c>
      <c r="G17" s="226"/>
      <c r="H17" s="227"/>
      <c r="I17" s="301">
        <v>0.15</v>
      </c>
      <c r="J17" s="256"/>
      <c r="K17" s="32"/>
      <c r="L17" s="260"/>
      <c r="M17" s="261"/>
      <c r="N17" s="300"/>
      <c r="O17" s="228"/>
      <c r="P17" s="247"/>
      <c r="Q17" s="32"/>
      <c r="R17" s="326"/>
      <c r="S17" s="225"/>
      <c r="T17" s="225"/>
      <c r="U17" s="233"/>
      <c r="V17" s="32"/>
      <c r="W17" s="32"/>
      <c r="X17" s="26"/>
      <c r="Y17" s="22"/>
      <c r="Z17" s="20"/>
    </row>
    <row r="18" spans="1:26" ht="15" customHeight="1" x14ac:dyDescent="0.25">
      <c r="A18" s="20"/>
      <c r="B18" s="22"/>
      <c r="C18" s="29"/>
      <c r="D18" s="32"/>
      <c r="E18" s="33"/>
      <c r="F18" s="267"/>
      <c r="G18" s="226"/>
      <c r="H18" s="227"/>
      <c r="I18" s="302"/>
      <c r="J18" s="256"/>
      <c r="K18" s="32"/>
      <c r="L18" s="41"/>
      <c r="M18" s="32"/>
      <c r="N18" s="35"/>
      <c r="O18" s="32"/>
      <c r="P18" s="39"/>
      <c r="Q18" s="32"/>
      <c r="R18" s="41"/>
      <c r="S18" s="32"/>
      <c r="T18" s="32"/>
      <c r="U18" s="39"/>
      <c r="V18" s="32"/>
      <c r="W18" s="32"/>
      <c r="X18" s="26"/>
      <c r="Y18" s="22"/>
      <c r="Z18" s="20"/>
    </row>
    <row r="19" spans="1:26" ht="15" customHeight="1" x14ac:dyDescent="0.25">
      <c r="A19" s="20"/>
      <c r="B19" s="22"/>
      <c r="C19" s="29"/>
      <c r="D19" s="32"/>
      <c r="E19" s="33"/>
      <c r="F19" s="267" t="s">
        <v>5</v>
      </c>
      <c r="G19" s="226"/>
      <c r="H19" s="227"/>
      <c r="I19" s="308">
        <v>20</v>
      </c>
      <c r="J19" s="256" t="s">
        <v>8</v>
      </c>
      <c r="K19" s="32"/>
      <c r="L19" s="260" t="s">
        <v>11</v>
      </c>
      <c r="M19" s="261"/>
      <c r="N19" s="310">
        <f>$I$160</f>
        <v>8727.9546215401333</v>
      </c>
      <c r="O19" s="228" t="str">
        <f>CONCATENATE("USD/ton ",H10)</f>
        <v>USD/ton Carvone</v>
      </c>
      <c r="P19" s="247"/>
      <c r="Q19" s="32"/>
      <c r="R19" s="327"/>
      <c r="S19" s="225" t="s">
        <v>94</v>
      </c>
      <c r="T19" s="225"/>
      <c r="U19" s="233"/>
      <c r="V19" s="32"/>
      <c r="W19" s="32"/>
      <c r="X19" s="26"/>
      <c r="Y19" s="22"/>
      <c r="Z19" s="20"/>
    </row>
    <row r="20" spans="1:26" ht="15" customHeight="1" x14ac:dyDescent="0.25">
      <c r="A20" s="20"/>
      <c r="B20" s="22"/>
      <c r="C20" s="29"/>
      <c r="D20" s="32"/>
      <c r="E20" s="33"/>
      <c r="F20" s="268"/>
      <c r="G20" s="269"/>
      <c r="H20" s="270"/>
      <c r="I20" s="309"/>
      <c r="J20" s="257"/>
      <c r="K20" s="32"/>
      <c r="L20" s="262"/>
      <c r="M20" s="263"/>
      <c r="N20" s="311"/>
      <c r="O20" s="248"/>
      <c r="P20" s="249"/>
      <c r="Q20" s="32"/>
      <c r="R20" s="328"/>
      <c r="S20" s="240"/>
      <c r="T20" s="240"/>
      <c r="U20" s="241"/>
      <c r="V20" s="32"/>
      <c r="W20" s="32"/>
      <c r="X20" s="26"/>
      <c r="Y20" s="22"/>
      <c r="Z20" s="20"/>
    </row>
    <row r="21" spans="1:26" ht="15" customHeight="1" x14ac:dyDescent="0.25">
      <c r="A21" s="20"/>
      <c r="B21" s="22"/>
      <c r="C21" s="29"/>
      <c r="D21" s="32"/>
      <c r="E21" s="32"/>
      <c r="F21" s="32"/>
      <c r="G21" s="32"/>
      <c r="H21" s="32"/>
      <c r="I21" s="32"/>
      <c r="J21" s="32"/>
      <c r="K21" s="32"/>
      <c r="L21" s="32"/>
      <c r="M21" s="32"/>
      <c r="N21" s="32"/>
      <c r="O21" s="32"/>
      <c r="P21" s="32"/>
      <c r="Q21" s="32"/>
      <c r="R21" s="32"/>
      <c r="S21" s="32"/>
      <c r="T21" s="32"/>
      <c r="U21" s="32"/>
      <c r="V21" s="32"/>
      <c r="W21" s="32"/>
      <c r="X21" s="26"/>
      <c r="Y21" s="22"/>
      <c r="Z21" s="20"/>
    </row>
    <row r="22" spans="1:26" ht="3.75" customHeight="1" thickBot="1" x14ac:dyDescent="0.3">
      <c r="A22" s="20"/>
      <c r="B22" s="26"/>
      <c r="C22" s="30"/>
      <c r="D22" s="24"/>
      <c r="E22" s="24"/>
      <c r="F22" s="24"/>
      <c r="G22" s="24"/>
      <c r="H22" s="24"/>
      <c r="I22" s="24"/>
      <c r="J22" s="24"/>
      <c r="K22" s="24"/>
      <c r="L22" s="24"/>
      <c r="M22" s="24"/>
      <c r="N22" s="24"/>
      <c r="O22" s="24"/>
      <c r="P22" s="24"/>
      <c r="Q22" s="24"/>
      <c r="R22" s="24"/>
      <c r="S22" s="24"/>
      <c r="T22" s="24"/>
      <c r="U22" s="24"/>
      <c r="V22" s="24"/>
      <c r="W22" s="24"/>
      <c r="X22" s="31"/>
      <c r="Y22" s="25"/>
      <c r="Z22" s="20"/>
    </row>
    <row r="23" spans="1:26" ht="3.75" customHeight="1" thickTop="1" x14ac:dyDescent="0.25">
      <c r="A23" s="20"/>
      <c r="B23" s="26"/>
      <c r="C23" s="25"/>
      <c r="D23" s="25"/>
      <c r="E23" s="25"/>
      <c r="F23" s="25"/>
      <c r="G23" s="25"/>
      <c r="H23" s="25"/>
      <c r="I23" s="25"/>
      <c r="J23" s="25"/>
      <c r="K23" s="25"/>
      <c r="L23" s="25"/>
      <c r="M23" s="25"/>
      <c r="N23" s="25"/>
      <c r="O23" s="25"/>
      <c r="P23" s="25"/>
      <c r="Q23" s="25"/>
      <c r="R23" s="25"/>
      <c r="S23" s="25"/>
      <c r="T23" s="25"/>
      <c r="U23" s="25"/>
      <c r="V23" s="25"/>
      <c r="W23" s="25"/>
      <c r="X23" s="26"/>
      <c r="Y23" s="25"/>
      <c r="Z23" s="20"/>
    </row>
    <row r="24" spans="1:26" ht="15" customHeight="1" x14ac:dyDescent="0.25">
      <c r="A24" s="20"/>
      <c r="B24" s="22"/>
      <c r="C24" s="29"/>
      <c r="D24" s="25"/>
      <c r="E24" s="25"/>
      <c r="F24" s="25"/>
      <c r="G24" s="25"/>
      <c r="H24" s="25"/>
      <c r="I24" s="25"/>
      <c r="J24" s="25"/>
      <c r="K24" s="25"/>
      <c r="L24" s="25"/>
      <c r="M24" s="25"/>
      <c r="N24" s="25"/>
      <c r="O24" s="25"/>
      <c r="P24" s="25"/>
      <c r="Q24" s="25"/>
      <c r="R24" s="25"/>
      <c r="S24" s="25"/>
      <c r="T24" s="25"/>
      <c r="U24" s="25"/>
      <c r="V24" s="25"/>
      <c r="W24" s="25"/>
      <c r="X24" s="26"/>
      <c r="Y24" s="22"/>
      <c r="Z24" s="20"/>
    </row>
    <row r="25" spans="1:26" ht="15" customHeight="1" x14ac:dyDescent="0.25">
      <c r="A25" s="20"/>
      <c r="B25" s="22"/>
      <c r="C25" s="29"/>
      <c r="D25" s="27" t="s">
        <v>15</v>
      </c>
      <c r="E25" s="25"/>
      <c r="F25" s="25"/>
      <c r="G25" s="25"/>
      <c r="H25" s="25"/>
      <c r="I25" s="25"/>
      <c r="J25" s="25"/>
      <c r="K25" s="25"/>
      <c r="L25" s="25"/>
      <c r="M25" s="25"/>
      <c r="N25" s="25"/>
      <c r="O25" s="25"/>
      <c r="P25" s="25"/>
      <c r="Q25" s="25"/>
      <c r="R25" s="25"/>
      <c r="S25" s="25"/>
      <c r="T25" s="25"/>
      <c r="U25" s="25"/>
      <c r="V25" s="25"/>
      <c r="W25" s="25"/>
      <c r="X25" s="26"/>
      <c r="Y25" s="22"/>
      <c r="Z25" s="20"/>
    </row>
    <row r="26" spans="1:26" ht="15" customHeight="1" x14ac:dyDescent="0.25">
      <c r="A26" s="20"/>
      <c r="B26" s="26"/>
      <c r="C26" s="25"/>
      <c r="D26" s="25"/>
      <c r="E26" s="25"/>
      <c r="F26" s="25"/>
      <c r="G26" s="25"/>
      <c r="H26" s="25"/>
      <c r="I26" s="25"/>
      <c r="J26" s="25"/>
      <c r="K26" s="25"/>
      <c r="L26" s="25"/>
      <c r="M26" s="25"/>
      <c r="N26" s="25"/>
      <c r="O26" s="25"/>
      <c r="P26" s="25"/>
      <c r="Q26" s="25"/>
      <c r="R26" s="25"/>
      <c r="S26" s="25"/>
      <c r="T26" s="25"/>
      <c r="U26" s="25"/>
      <c r="V26" s="25"/>
      <c r="W26" s="25"/>
      <c r="X26" s="26"/>
      <c r="Y26" s="22"/>
      <c r="Z26" s="20"/>
    </row>
    <row r="27" spans="1:26" ht="3.75" customHeight="1" thickBot="1" x14ac:dyDescent="0.3">
      <c r="A27" s="20"/>
      <c r="B27" s="26"/>
      <c r="C27" s="30"/>
      <c r="D27" s="24"/>
      <c r="E27" s="24"/>
      <c r="F27" s="24"/>
      <c r="G27" s="24"/>
      <c r="H27" s="24"/>
      <c r="I27" s="24"/>
      <c r="J27" s="24"/>
      <c r="K27" s="24"/>
      <c r="L27" s="24"/>
      <c r="M27" s="24"/>
      <c r="N27" s="24"/>
      <c r="O27" s="24"/>
      <c r="P27" s="24"/>
      <c r="Q27" s="24"/>
      <c r="R27" s="24"/>
      <c r="S27" s="24"/>
      <c r="T27" s="24"/>
      <c r="U27" s="24"/>
      <c r="V27" s="24"/>
      <c r="W27" s="24"/>
      <c r="X27" s="31"/>
      <c r="Y27" s="25"/>
      <c r="Z27" s="20"/>
    </row>
    <row r="28" spans="1:26" ht="3.75" customHeight="1" thickTop="1" x14ac:dyDescent="0.25">
      <c r="A28" s="20"/>
      <c r="B28" s="26"/>
      <c r="C28" s="25"/>
      <c r="D28" s="25"/>
      <c r="E28" s="25"/>
      <c r="F28" s="25"/>
      <c r="G28" s="25"/>
      <c r="H28" s="25"/>
      <c r="I28" s="25"/>
      <c r="J28" s="25"/>
      <c r="K28" s="25"/>
      <c r="L28" s="25"/>
      <c r="M28" s="25"/>
      <c r="N28" s="25"/>
      <c r="O28" s="25"/>
      <c r="P28" s="25"/>
      <c r="Q28" s="25"/>
      <c r="R28" s="25"/>
      <c r="S28" s="25"/>
      <c r="T28" s="25"/>
      <c r="U28" s="25"/>
      <c r="V28" s="25"/>
      <c r="W28" s="25"/>
      <c r="X28" s="26"/>
      <c r="Y28" s="25"/>
      <c r="Z28" s="20"/>
    </row>
    <row r="29" spans="1:26" ht="15" customHeight="1" x14ac:dyDescent="0.25">
      <c r="A29" s="20"/>
      <c r="B29" s="26"/>
      <c r="C29" s="25"/>
      <c r="D29" s="27" t="s">
        <v>14</v>
      </c>
      <c r="E29" s="25"/>
      <c r="F29" s="25"/>
      <c r="G29" s="25"/>
      <c r="H29" s="25"/>
      <c r="I29" s="25"/>
      <c r="J29" s="25"/>
      <c r="K29" s="25"/>
      <c r="L29" s="25"/>
      <c r="M29" s="25"/>
      <c r="N29" s="25"/>
      <c r="O29" s="25"/>
      <c r="P29" s="25"/>
      <c r="Q29" s="25"/>
      <c r="R29" s="25"/>
      <c r="S29" s="25"/>
      <c r="T29" s="25"/>
      <c r="U29" s="25"/>
      <c r="V29" s="25"/>
      <c r="W29" s="25"/>
      <c r="X29" s="26"/>
      <c r="Y29" s="22"/>
      <c r="Z29" s="20"/>
    </row>
    <row r="30" spans="1:26" ht="15" customHeight="1" x14ac:dyDescent="0.25">
      <c r="A30" s="20"/>
      <c r="B30" s="22"/>
      <c r="C30" s="29"/>
      <c r="D30" s="32"/>
      <c r="E30" s="32"/>
      <c r="F30" s="44"/>
      <c r="G30" s="44"/>
      <c r="H30" s="44"/>
      <c r="I30" s="44"/>
      <c r="J30" s="44"/>
      <c r="K30" s="44"/>
      <c r="L30" s="32"/>
      <c r="M30" s="32"/>
      <c r="N30" s="32"/>
      <c r="O30" s="32"/>
      <c r="P30" s="32"/>
      <c r="Q30" s="32"/>
      <c r="R30" s="32"/>
      <c r="S30" s="32"/>
      <c r="T30" s="32"/>
      <c r="U30" s="32"/>
      <c r="V30" s="32"/>
      <c r="W30" s="32"/>
      <c r="X30" s="26"/>
      <c r="Y30" s="22"/>
      <c r="Z30" s="20"/>
    </row>
    <row r="31" spans="1:26" ht="15" customHeight="1" x14ac:dyDescent="0.25">
      <c r="A31" s="20"/>
      <c r="B31" s="22"/>
      <c r="C31" s="29"/>
      <c r="D31" s="32"/>
      <c r="E31" s="33"/>
      <c r="F31" s="243" t="s">
        <v>16</v>
      </c>
      <c r="G31" s="32"/>
      <c r="H31" s="32"/>
      <c r="I31" s="225" t="s">
        <v>17</v>
      </c>
      <c r="J31" s="225"/>
      <c r="K31" s="32"/>
      <c r="L31" s="243" t="s">
        <v>18</v>
      </c>
      <c r="M31" s="243"/>
      <c r="N31" s="243"/>
      <c r="O31" s="243" t="s">
        <v>19</v>
      </c>
      <c r="P31" s="243"/>
      <c r="Q31" s="45" t="s">
        <v>25</v>
      </c>
      <c r="R31" s="45"/>
      <c r="S31" s="45" t="str">
        <f>CONCATENATE("Cost/ton of ",H10)</f>
        <v>Cost/ton of Carvone</v>
      </c>
      <c r="T31" s="45"/>
      <c r="U31" s="45" t="s">
        <v>27</v>
      </c>
      <c r="V31" s="32"/>
      <c r="W31" s="32"/>
      <c r="X31" s="26"/>
      <c r="Y31" s="22"/>
      <c r="Z31" s="20"/>
    </row>
    <row r="32" spans="1:26" ht="15" customHeight="1" x14ac:dyDescent="0.25">
      <c r="A32" s="20"/>
      <c r="B32" s="22"/>
      <c r="C32" s="29"/>
      <c r="D32" s="32"/>
      <c r="E32" s="33"/>
      <c r="F32" s="240"/>
      <c r="G32" s="44"/>
      <c r="H32" s="44"/>
      <c r="I32" s="240"/>
      <c r="J32" s="240"/>
      <c r="K32" s="44"/>
      <c r="L32" s="240"/>
      <c r="M32" s="240"/>
      <c r="N32" s="240"/>
      <c r="O32" s="240"/>
      <c r="P32" s="240"/>
      <c r="Q32" s="32" t="s">
        <v>24</v>
      </c>
      <c r="R32" s="32"/>
      <c r="S32" s="32" t="s">
        <v>26</v>
      </c>
      <c r="T32" s="32"/>
      <c r="U32" s="32" t="s">
        <v>42</v>
      </c>
      <c r="V32" s="32"/>
      <c r="W32" s="32"/>
      <c r="X32" s="26"/>
      <c r="Y32" s="22"/>
      <c r="Z32" s="20"/>
    </row>
    <row r="33" spans="1:26" ht="15" customHeight="1" x14ac:dyDescent="0.25">
      <c r="A33" s="20"/>
      <c r="B33" s="22"/>
      <c r="C33" s="29"/>
      <c r="D33" s="32"/>
      <c r="E33" s="33"/>
      <c r="F33" s="116" t="s">
        <v>111</v>
      </c>
      <c r="G33" s="106"/>
      <c r="H33" s="106"/>
      <c r="I33" s="17">
        <v>6100</v>
      </c>
      <c r="J33" s="32" t="str">
        <f>IF(P33="","",CONCATENATE("USD/",IF(OR(RIGHT(P33,2)="/h",RIGHT(P33,2)="/s"),LEFT(P33,LEN(P33)-2),IF(P33="kW","kWh",P33))))</f>
        <v>USD/ton</v>
      </c>
      <c r="K33" s="32"/>
      <c r="L33" s="109">
        <f>O33/(1000*$I$13/IF(RIGHT(P33,1)="s",3600*($I$15),$I$15))</f>
        <v>0.95238095238095233</v>
      </c>
      <c r="M33" s="46" t="str">
        <f>IF(P33="","",CONCATENATE(IF(OR(RIGHT(P33,2)="/h",RIGHT(P33,2)="/s"),LEFT(P33,LEN(P33)-2),IF(P33="kW","kWh",P33)),"/ton ",$H$10))</f>
        <v>ton/ton Carvone</v>
      </c>
      <c r="N33" s="32"/>
      <c r="O33" s="117">
        <f>7500/8000</f>
        <v>0.9375</v>
      </c>
      <c r="P33" s="118" t="s">
        <v>108</v>
      </c>
      <c r="Q33" s="307">
        <f>IF(O33="","",IF(RIGHT(P33,1)="s",I33*O33*$I$15*3600/1000000,I33*O33*$I$15/1000000))</f>
        <v>45.75</v>
      </c>
      <c r="R33" s="307"/>
      <c r="S33" s="305">
        <f>IF(L33="","",L33*I33)</f>
        <v>5809.5238095238092</v>
      </c>
      <c r="T33" s="306"/>
      <c r="U33" s="107">
        <f>IF(S33="","",S33/$S$41*100)</f>
        <v>99.331086615701849</v>
      </c>
      <c r="V33" s="32"/>
      <c r="W33" s="32"/>
      <c r="X33" s="26"/>
      <c r="Y33" s="22"/>
      <c r="Z33" s="20"/>
    </row>
    <row r="34" spans="1:26" ht="15" customHeight="1" x14ac:dyDescent="0.25">
      <c r="A34" s="20"/>
      <c r="B34" s="22"/>
      <c r="C34" s="29"/>
      <c r="D34" s="32"/>
      <c r="E34" s="33"/>
      <c r="F34" s="116" t="s">
        <v>115</v>
      </c>
      <c r="G34" s="106"/>
      <c r="H34" s="106"/>
      <c r="I34" s="176">
        <v>0.71899999999999997</v>
      </c>
      <c r="J34" s="32" t="str">
        <f t="shared" ref="J34:J39" si="0">IF(P34="","",CONCATENATE("USD/",IF(OR(RIGHT(P34,2)="/h",RIGHT(P34,2)="/s"),LEFT(P34,LEN(P34)-2),IF(P34="kW","kWh",P34))))</f>
        <v>USD/kg</v>
      </c>
      <c r="K34" s="32"/>
      <c r="L34" s="109">
        <f t="shared" ref="L34:L39" si="1">O34/(1000*$I$13/IF(RIGHT(P34,1)="s",3600*($I$15),$I$15))</f>
        <v>52.937142857142859</v>
      </c>
      <c r="M34" s="46" t="str">
        <f t="shared" ref="M34:M39" si="2">IF(P34="","",CONCATENATE(IF(OR(RIGHT(P34,2)="/h",RIGHT(P34,2)="/s"),LEFT(P34,LEN(P34)-2),IF(P34="kW","kWh",P34)),"/ton ",$H$10))</f>
        <v>kg/ton Carvone</v>
      </c>
      <c r="N34" s="32"/>
      <c r="O34" s="117">
        <v>52.11</v>
      </c>
      <c r="P34" s="118" t="s">
        <v>116</v>
      </c>
      <c r="Q34" s="307">
        <f t="shared" ref="Q34:Q39" si="3">IF(O34="","",IF(RIGHT(P34,1)="s",I34*O34*$I$15*3600/1000000,I34*O34*$I$15/1000000))</f>
        <v>0.29973671999999996</v>
      </c>
      <c r="R34" s="307"/>
      <c r="S34" s="305">
        <f t="shared" ref="S34:S39" si="4">IF(L34="","",L34*I34)</f>
        <v>38.061805714285711</v>
      </c>
      <c r="T34" s="306"/>
      <c r="U34" s="107">
        <f t="shared" ref="U34:U39" si="5">IF(S34="","",S34/$S$41*100)</f>
        <v>0.65077976166615026</v>
      </c>
      <c r="V34" s="32"/>
      <c r="W34" s="32"/>
      <c r="X34" s="26"/>
      <c r="Y34" s="22"/>
      <c r="Z34" s="20"/>
    </row>
    <row r="35" spans="1:26" ht="15" customHeight="1" x14ac:dyDescent="0.25">
      <c r="A35" s="20"/>
      <c r="B35" s="22"/>
      <c r="C35" s="29"/>
      <c r="D35" s="32"/>
      <c r="E35" s="33"/>
      <c r="F35" s="116" t="s">
        <v>113</v>
      </c>
      <c r="G35" s="106"/>
      <c r="H35" s="106"/>
      <c r="I35" s="180">
        <v>2.9</v>
      </c>
      <c r="J35" s="32" t="str">
        <f t="shared" si="0"/>
        <v>USD/kg</v>
      </c>
      <c r="K35" s="32"/>
      <c r="L35" s="109">
        <f t="shared" si="1"/>
        <v>0.36571428571428571</v>
      </c>
      <c r="M35" s="46" t="str">
        <f t="shared" si="2"/>
        <v>kg/ton Carvone</v>
      </c>
      <c r="N35" s="32"/>
      <c r="O35" s="117">
        <v>0.36</v>
      </c>
      <c r="P35" s="118" t="s">
        <v>116</v>
      </c>
      <c r="Q35" s="307">
        <f>IF(O35="","",IF(RIGHT(P35,1)="s",I35*O35*$I$15*3600/1000000,I35*O35*$I$15/1000000))</f>
        <v>8.352E-3</v>
      </c>
      <c r="R35" s="307"/>
      <c r="S35" s="305">
        <f t="shared" si="4"/>
        <v>1.0605714285714285</v>
      </c>
      <c r="T35" s="306"/>
      <c r="U35" s="107">
        <f t="shared" si="5"/>
        <v>1.8133622632007473E-2</v>
      </c>
      <c r="V35" s="32"/>
      <c r="W35" s="32"/>
      <c r="X35" s="26"/>
      <c r="Y35" s="22"/>
      <c r="Z35" s="20"/>
    </row>
    <row r="36" spans="1:26" ht="15" customHeight="1" x14ac:dyDescent="0.25">
      <c r="A36" s="20"/>
      <c r="B36" s="22"/>
      <c r="C36" s="29"/>
      <c r="D36" s="32"/>
      <c r="E36" s="33"/>
      <c r="F36" s="116"/>
      <c r="G36" s="106"/>
      <c r="H36" s="106"/>
      <c r="I36" s="18"/>
      <c r="J36" s="32" t="str">
        <f t="shared" si="0"/>
        <v/>
      </c>
      <c r="K36" s="32"/>
      <c r="L36" s="109">
        <f t="shared" si="1"/>
        <v>0</v>
      </c>
      <c r="M36" s="46" t="str">
        <f t="shared" si="2"/>
        <v/>
      </c>
      <c r="N36" s="32"/>
      <c r="O36" s="117"/>
      <c r="P36" s="118"/>
      <c r="Q36" s="307" t="str">
        <f t="shared" si="3"/>
        <v/>
      </c>
      <c r="R36" s="307"/>
      <c r="S36" s="305">
        <f t="shared" si="4"/>
        <v>0</v>
      </c>
      <c r="T36" s="306"/>
      <c r="U36" s="107">
        <f t="shared" si="5"/>
        <v>0</v>
      </c>
      <c r="V36" s="32"/>
      <c r="W36" s="32"/>
      <c r="X36" s="26"/>
      <c r="Y36" s="22"/>
      <c r="Z36" s="20"/>
    </row>
    <row r="37" spans="1:26" ht="15" customHeight="1" x14ac:dyDescent="0.25">
      <c r="A37" s="20"/>
      <c r="B37" s="22"/>
      <c r="C37" s="29"/>
      <c r="D37" s="32"/>
      <c r="E37" s="33"/>
      <c r="F37" s="116"/>
      <c r="G37" s="106"/>
      <c r="H37" s="106"/>
      <c r="I37" s="19"/>
      <c r="J37" s="32" t="str">
        <f t="shared" si="0"/>
        <v/>
      </c>
      <c r="K37" s="32"/>
      <c r="L37" s="109">
        <f t="shared" si="1"/>
        <v>0</v>
      </c>
      <c r="M37" s="46" t="str">
        <f t="shared" si="2"/>
        <v/>
      </c>
      <c r="N37" s="32"/>
      <c r="O37" s="117"/>
      <c r="P37" s="118"/>
      <c r="Q37" s="307" t="str">
        <f t="shared" si="3"/>
        <v/>
      </c>
      <c r="R37" s="307"/>
      <c r="S37" s="305">
        <f t="shared" si="4"/>
        <v>0</v>
      </c>
      <c r="T37" s="306"/>
      <c r="U37" s="107">
        <f t="shared" si="5"/>
        <v>0</v>
      </c>
      <c r="V37" s="32"/>
      <c r="W37" s="32"/>
      <c r="X37" s="26"/>
      <c r="Y37" s="22"/>
      <c r="Z37" s="20"/>
    </row>
    <row r="38" spans="1:26" ht="15" customHeight="1" x14ac:dyDescent="0.25">
      <c r="A38" s="20"/>
      <c r="B38" s="22"/>
      <c r="C38" s="29"/>
      <c r="D38" s="32"/>
      <c r="E38" s="33"/>
      <c r="F38" s="116"/>
      <c r="G38" s="106"/>
      <c r="H38" s="106"/>
      <c r="I38" s="19"/>
      <c r="J38" s="32" t="str">
        <f t="shared" si="0"/>
        <v/>
      </c>
      <c r="K38" s="32"/>
      <c r="L38" s="109">
        <f t="shared" si="1"/>
        <v>0</v>
      </c>
      <c r="M38" s="46" t="str">
        <f t="shared" si="2"/>
        <v/>
      </c>
      <c r="N38" s="32"/>
      <c r="O38" s="117"/>
      <c r="P38" s="118"/>
      <c r="Q38" s="307" t="str">
        <f t="shared" si="3"/>
        <v/>
      </c>
      <c r="R38" s="307"/>
      <c r="S38" s="305">
        <f t="shared" si="4"/>
        <v>0</v>
      </c>
      <c r="T38" s="306"/>
      <c r="U38" s="107">
        <f t="shared" si="5"/>
        <v>0</v>
      </c>
      <c r="V38" s="32"/>
      <c r="W38" s="32"/>
      <c r="X38" s="26"/>
      <c r="Y38" s="22"/>
      <c r="Z38" s="20"/>
    </row>
    <row r="39" spans="1:26" ht="15" customHeight="1" x14ac:dyDescent="0.25">
      <c r="A39" s="20"/>
      <c r="B39" s="22"/>
      <c r="C39" s="29"/>
      <c r="D39" s="32"/>
      <c r="E39" s="33"/>
      <c r="F39" s="116"/>
      <c r="G39" s="106"/>
      <c r="H39" s="106"/>
      <c r="I39" s="19"/>
      <c r="J39" s="32" t="str">
        <f t="shared" si="0"/>
        <v/>
      </c>
      <c r="K39" s="32"/>
      <c r="L39" s="109">
        <f t="shared" si="1"/>
        <v>0</v>
      </c>
      <c r="M39" s="46" t="str">
        <f t="shared" si="2"/>
        <v/>
      </c>
      <c r="N39" s="32"/>
      <c r="O39" s="117"/>
      <c r="P39" s="118"/>
      <c r="Q39" s="307" t="str">
        <f t="shared" si="3"/>
        <v/>
      </c>
      <c r="R39" s="307"/>
      <c r="S39" s="305">
        <f t="shared" si="4"/>
        <v>0</v>
      </c>
      <c r="T39" s="306"/>
      <c r="U39" s="107">
        <f t="shared" si="5"/>
        <v>0</v>
      </c>
      <c r="V39" s="32"/>
      <c r="W39" s="32"/>
      <c r="X39" s="26"/>
      <c r="Y39" s="22"/>
      <c r="Z39" s="20"/>
    </row>
    <row r="40" spans="1:26" ht="15" customHeight="1" x14ac:dyDescent="0.25">
      <c r="A40" s="20"/>
      <c r="B40" s="22"/>
      <c r="C40" s="29"/>
      <c r="D40" s="32"/>
      <c r="E40" s="33"/>
      <c r="F40" s="32"/>
      <c r="G40" s="32"/>
      <c r="H40" s="32"/>
      <c r="I40" s="32"/>
      <c r="J40" s="32"/>
      <c r="K40" s="32"/>
      <c r="L40" s="32"/>
      <c r="M40" s="32"/>
      <c r="N40" s="32"/>
      <c r="O40" s="32"/>
      <c r="P40" s="32"/>
      <c r="Q40" s="218" t="s">
        <v>29</v>
      </c>
      <c r="R40" s="218"/>
      <c r="S40" s="219" t="s">
        <v>29</v>
      </c>
      <c r="T40" s="220"/>
      <c r="U40" s="49" t="s">
        <v>29</v>
      </c>
      <c r="V40" s="32"/>
      <c r="W40" s="32"/>
      <c r="X40" s="26"/>
      <c r="Y40" s="22"/>
      <c r="Z40" s="20"/>
    </row>
    <row r="41" spans="1:26" ht="15" customHeight="1" x14ac:dyDescent="0.25">
      <c r="A41" s="20"/>
      <c r="B41" s="22"/>
      <c r="C41" s="29"/>
      <c r="D41" s="32"/>
      <c r="E41" s="33"/>
      <c r="F41" s="32"/>
      <c r="G41" s="32"/>
      <c r="H41" s="32"/>
      <c r="I41" s="32"/>
      <c r="J41" s="32"/>
      <c r="K41" s="32"/>
      <c r="L41" s="32"/>
      <c r="M41" s="32"/>
      <c r="N41" s="32"/>
      <c r="O41" s="32"/>
      <c r="P41" s="32"/>
      <c r="Q41" s="307">
        <f>SUM(Q33:R39)</f>
        <v>46.058088720000001</v>
      </c>
      <c r="R41" s="307"/>
      <c r="S41" s="305">
        <f>SUM(S33:T39)</f>
        <v>5848.6461866666659</v>
      </c>
      <c r="T41" s="306"/>
      <c r="U41" s="108">
        <f>SUM(U33:U39)</f>
        <v>100</v>
      </c>
      <c r="V41" s="32"/>
      <c r="W41" s="32"/>
      <c r="X41" s="26"/>
      <c r="Y41" s="22"/>
      <c r="Z41" s="20"/>
    </row>
    <row r="42" spans="1:26" ht="15" customHeight="1" x14ac:dyDescent="0.25">
      <c r="A42" s="20"/>
      <c r="B42" s="22"/>
      <c r="C42" s="29"/>
      <c r="D42" s="32"/>
      <c r="E42" s="32"/>
      <c r="F42" s="32"/>
      <c r="G42" s="32"/>
      <c r="H42" s="32"/>
      <c r="I42" s="32"/>
      <c r="J42" s="32"/>
      <c r="K42" s="32"/>
      <c r="L42" s="32"/>
      <c r="M42" s="32"/>
      <c r="N42" s="32"/>
      <c r="O42" s="32"/>
      <c r="P42" s="32"/>
      <c r="Q42" s="32"/>
      <c r="R42" s="32"/>
      <c r="S42" s="32"/>
      <c r="T42" s="32"/>
      <c r="U42" s="32"/>
      <c r="V42" s="32"/>
      <c r="W42" s="32"/>
      <c r="X42" s="26"/>
      <c r="Y42" s="22"/>
      <c r="Z42" s="20"/>
    </row>
    <row r="43" spans="1:26" ht="15" customHeight="1" x14ac:dyDescent="0.25">
      <c r="A43" s="20"/>
      <c r="B43" s="22"/>
      <c r="C43" s="29"/>
      <c r="D43" s="27" t="s">
        <v>28</v>
      </c>
      <c r="E43" s="25"/>
      <c r="F43" s="25"/>
      <c r="G43" s="25"/>
      <c r="H43" s="25"/>
      <c r="I43" s="25"/>
      <c r="J43" s="25"/>
      <c r="K43" s="25"/>
      <c r="L43" s="25"/>
      <c r="M43" s="25"/>
      <c r="N43" s="25"/>
      <c r="O43" s="25"/>
      <c r="P43" s="25"/>
      <c r="Q43" s="25"/>
      <c r="R43" s="25"/>
      <c r="S43" s="25"/>
      <c r="T43" s="25"/>
      <c r="U43" s="25"/>
      <c r="V43" s="25"/>
      <c r="W43" s="25"/>
      <c r="X43" s="26"/>
      <c r="Y43" s="22"/>
      <c r="Z43" s="20"/>
    </row>
    <row r="44" spans="1:26" ht="15" customHeight="1" x14ac:dyDescent="0.25">
      <c r="A44" s="20"/>
      <c r="B44" s="22"/>
      <c r="C44" s="29"/>
      <c r="D44" s="32"/>
      <c r="E44" s="32"/>
      <c r="F44" s="32"/>
      <c r="G44" s="32"/>
      <c r="H44" s="32"/>
      <c r="I44" s="32"/>
      <c r="J44" s="44"/>
      <c r="K44" s="44"/>
      <c r="L44" s="32"/>
      <c r="M44" s="32"/>
      <c r="N44" s="32"/>
      <c r="O44" s="32"/>
      <c r="P44" s="32"/>
      <c r="Q44" s="32"/>
      <c r="R44" s="32"/>
      <c r="S44" s="32"/>
      <c r="T44" s="32"/>
      <c r="U44" s="32"/>
      <c r="V44" s="32"/>
      <c r="W44" s="32"/>
      <c r="X44" s="26"/>
      <c r="Y44" s="22"/>
      <c r="Z44" s="20"/>
    </row>
    <row r="45" spans="1:26" ht="15" customHeight="1" x14ac:dyDescent="0.25">
      <c r="A45" s="20"/>
      <c r="B45" s="22"/>
      <c r="C45" s="29"/>
      <c r="D45" s="32"/>
      <c r="E45" s="33"/>
      <c r="F45" s="243" t="s">
        <v>28</v>
      </c>
      <c r="G45" s="45"/>
      <c r="H45" s="45"/>
      <c r="I45" s="243" t="s">
        <v>17</v>
      </c>
      <c r="J45" s="243"/>
      <c r="K45" s="32"/>
      <c r="L45" s="243" t="s">
        <v>18</v>
      </c>
      <c r="M45" s="243"/>
      <c r="N45" s="243"/>
      <c r="O45" s="243" t="s">
        <v>19</v>
      </c>
      <c r="P45" s="243"/>
      <c r="Q45" s="45" t="s">
        <v>25</v>
      </c>
      <c r="R45" s="45"/>
      <c r="S45" s="45" t="str">
        <f>CONCATENATE("Cost/ton of ",H10)</f>
        <v>Cost/ton of Carvone</v>
      </c>
      <c r="T45" s="45"/>
      <c r="U45" s="45" t="s">
        <v>27</v>
      </c>
      <c r="V45" s="32"/>
      <c r="W45" s="32"/>
      <c r="X45" s="26"/>
      <c r="Y45" s="22"/>
      <c r="Z45" s="20"/>
    </row>
    <row r="46" spans="1:26" ht="15" customHeight="1" x14ac:dyDescent="0.25">
      <c r="A46" s="20"/>
      <c r="B46" s="22"/>
      <c r="C46" s="29"/>
      <c r="D46" s="32"/>
      <c r="E46" s="33"/>
      <c r="F46" s="240"/>
      <c r="G46" s="44"/>
      <c r="H46" s="44"/>
      <c r="I46" s="240"/>
      <c r="J46" s="240"/>
      <c r="K46" s="44"/>
      <c r="L46" s="240"/>
      <c r="M46" s="240"/>
      <c r="N46" s="240"/>
      <c r="O46" s="240"/>
      <c r="P46" s="240"/>
      <c r="Q46" s="44" t="s">
        <v>24</v>
      </c>
      <c r="R46" s="44"/>
      <c r="S46" s="44" t="s">
        <v>26</v>
      </c>
      <c r="T46" s="44"/>
      <c r="U46" s="44" t="s">
        <v>42</v>
      </c>
      <c r="V46" s="32"/>
      <c r="W46" s="32"/>
      <c r="X46" s="26"/>
      <c r="Y46" s="22"/>
      <c r="Z46" s="20"/>
    </row>
    <row r="47" spans="1:26" ht="15" customHeight="1" x14ac:dyDescent="0.25">
      <c r="A47" s="20"/>
      <c r="B47" s="22"/>
      <c r="C47" s="29"/>
      <c r="D47" s="32"/>
      <c r="E47" s="33"/>
      <c r="F47" s="116" t="s">
        <v>112</v>
      </c>
      <c r="G47" s="106"/>
      <c r="H47" s="106"/>
      <c r="I47" s="181">
        <v>0.04</v>
      </c>
      <c r="J47" s="32" t="str">
        <f>IF(P47="","",CONCATENATE("USD/",IF(OR(RIGHT(P47,2)="/h",RIGHT(P47,2)="/s"),LEFT(P47,LEN(P47)-2),IF(P47="kW","kWh",P47))))</f>
        <v>USD/ton</v>
      </c>
      <c r="K47" s="32"/>
      <c r="L47" s="109">
        <f>O47/(1000*$I$13/IF(RIGHT(P47,1)="s",3600*($I$15),$I$15))</f>
        <v>62.509714285714288</v>
      </c>
      <c r="M47" s="46" t="str">
        <f>IF(P47="","",CONCATENATE(IF(OR(RIGHT(P47,2)="/h",RIGHT(P47,2)="/s"),LEFT(P47,LEN(P47)-2),IF(P47="kW","kWh",P47)),"/ton ",$H$10))</f>
        <v>ton/ton Carvone</v>
      </c>
      <c r="N47" s="32"/>
      <c r="O47" s="177">
        <v>61.533000000000001</v>
      </c>
      <c r="P47" s="118" t="s">
        <v>108</v>
      </c>
      <c r="Q47" s="307">
        <f>IF(O47="","",IF(RIGHT(P47,1)="s",I47*O47*$I$15*3600/1000000,I47*O47*$I$15/1000000))</f>
        <v>1.9690560000000003E-2</v>
      </c>
      <c r="R47" s="307"/>
      <c r="S47" s="305">
        <f>IF(L47="","",L47*I47)</f>
        <v>2.5003885714285716</v>
      </c>
      <c r="T47" s="306"/>
      <c r="U47" s="107">
        <f>IF(S47="","",S47/$S$55*100)</f>
        <v>0.9963191582687464</v>
      </c>
      <c r="V47" s="32"/>
      <c r="W47" s="32"/>
      <c r="X47" s="26"/>
      <c r="Y47" s="22"/>
      <c r="Z47" s="20"/>
    </row>
    <row r="48" spans="1:26" ht="15" customHeight="1" x14ac:dyDescent="0.25">
      <c r="A48" s="20"/>
      <c r="B48" s="22"/>
      <c r="C48" s="29"/>
      <c r="D48" s="32"/>
      <c r="E48" s="33"/>
      <c r="F48" s="116" t="s">
        <v>117</v>
      </c>
      <c r="G48" s="106"/>
      <c r="H48" s="106"/>
      <c r="I48" s="176">
        <v>35</v>
      </c>
      <c r="J48" s="32" t="str">
        <f t="shared" ref="J48:J53" si="6">IF(P48="","",CONCATENATE("USD/",IF(OR(RIGHT(P48,2)="/h",RIGHT(P48,2)="/s"),LEFT(P48,LEN(P48)-2),IF(P48="kW","kWh",P48))))</f>
        <v>USD/ton</v>
      </c>
      <c r="K48" s="32"/>
      <c r="L48" s="109">
        <f t="shared" ref="L48:L53" si="7">O48/(1000*$I$13/IF(RIGHT(P48,1)="s",3600*($I$15),$I$15))</f>
        <v>1.0849523809523811</v>
      </c>
      <c r="M48" s="46" t="str">
        <f t="shared" ref="M48:M53" si="8">IF(P48="","",CONCATENATE(IF(OR(RIGHT(P48,2)="/h",RIGHT(P48,2)="/s"),LEFT(P48,LEN(P48)-2),IF(P48="kW","kWh",P48)),"/ton ",$H$10))</f>
        <v>ton/ton Carvone</v>
      </c>
      <c r="N48" s="32"/>
      <c r="O48" s="182">
        <v>1.0680000000000001</v>
      </c>
      <c r="P48" s="118" t="s">
        <v>108</v>
      </c>
      <c r="Q48" s="307">
        <f t="shared" ref="Q48:Q53" si="9">IF(O48="","",IF(RIGHT(P48,1)="s",I48*O48*$I$15*3600/1000000,I48*O48*$I$15/1000000))</f>
        <v>0.29903999999999997</v>
      </c>
      <c r="R48" s="307"/>
      <c r="S48" s="305">
        <f t="shared" ref="S48:S53" si="10">IF(L48="","",L48*I48)</f>
        <v>37.973333333333336</v>
      </c>
      <c r="T48" s="306"/>
      <c r="U48" s="107">
        <f t="shared" ref="U48:U53" si="11">IF(S48="","",S48/$S$55*100)</f>
        <v>15.131072000424869</v>
      </c>
      <c r="V48" s="32"/>
      <c r="W48" s="32"/>
      <c r="X48" s="26"/>
      <c r="Y48" s="22"/>
      <c r="Z48" s="20"/>
    </row>
    <row r="49" spans="1:26" ht="15" customHeight="1" x14ac:dyDescent="0.25">
      <c r="A49" s="20"/>
      <c r="B49" s="22"/>
      <c r="C49" s="29"/>
      <c r="D49" s="32"/>
      <c r="E49" s="33"/>
      <c r="F49" s="116" t="s">
        <v>109</v>
      </c>
      <c r="G49" s="106"/>
      <c r="H49" s="106"/>
      <c r="I49" s="181">
        <v>7.0000000000000007E-2</v>
      </c>
      <c r="J49" s="32" t="str">
        <f t="shared" si="6"/>
        <v>USD/kWh</v>
      </c>
      <c r="K49" s="32"/>
      <c r="L49" s="109">
        <f t="shared" si="7"/>
        <v>3006.9841269841268</v>
      </c>
      <c r="M49" s="46" t="str">
        <f t="shared" si="8"/>
        <v>kWh/ton Carvone</v>
      </c>
      <c r="N49" s="32"/>
      <c r="O49" s="177">
        <v>2960</v>
      </c>
      <c r="P49" s="118" t="s">
        <v>114</v>
      </c>
      <c r="Q49" s="307">
        <f t="shared" si="9"/>
        <v>1.6576000000000002</v>
      </c>
      <c r="R49" s="307"/>
      <c r="S49" s="305">
        <f t="shared" si="10"/>
        <v>210.48888888888888</v>
      </c>
      <c r="T49" s="306"/>
      <c r="U49" s="107">
        <f t="shared" si="11"/>
        <v>83.872608841306388</v>
      </c>
      <c r="V49" s="32"/>
      <c r="W49" s="32"/>
      <c r="X49" s="26"/>
      <c r="Y49" s="22"/>
      <c r="Z49" s="20"/>
    </row>
    <row r="50" spans="1:26" ht="15" customHeight="1" x14ac:dyDescent="0.25">
      <c r="A50" s="20"/>
      <c r="B50" s="22"/>
      <c r="C50" s="29"/>
      <c r="D50" s="32"/>
      <c r="E50" s="33"/>
      <c r="F50" s="116"/>
      <c r="G50" s="106"/>
      <c r="H50" s="106"/>
      <c r="I50" s="181"/>
      <c r="J50" s="32" t="str">
        <f t="shared" si="6"/>
        <v/>
      </c>
      <c r="K50" s="32"/>
      <c r="L50" s="109">
        <f t="shared" si="7"/>
        <v>0</v>
      </c>
      <c r="M50" s="46" t="str">
        <f t="shared" si="8"/>
        <v/>
      </c>
      <c r="N50" s="32"/>
      <c r="O50" s="117"/>
      <c r="P50" s="118"/>
      <c r="Q50" s="307" t="str">
        <f t="shared" si="9"/>
        <v/>
      </c>
      <c r="R50" s="307"/>
      <c r="S50" s="305">
        <f t="shared" si="10"/>
        <v>0</v>
      </c>
      <c r="T50" s="306"/>
      <c r="U50" s="107">
        <f t="shared" si="11"/>
        <v>0</v>
      </c>
      <c r="V50" s="32"/>
      <c r="W50" s="32"/>
      <c r="X50" s="26"/>
      <c r="Y50" s="22"/>
      <c r="Z50" s="20"/>
    </row>
    <row r="51" spans="1:26" ht="15" customHeight="1" x14ac:dyDescent="0.25">
      <c r="A51" s="20"/>
      <c r="B51" s="22"/>
      <c r="C51" s="29"/>
      <c r="D51" s="32"/>
      <c r="E51" s="33"/>
      <c r="F51" s="116"/>
      <c r="G51" s="106"/>
      <c r="H51" s="106"/>
      <c r="I51" s="181"/>
      <c r="J51" s="32" t="str">
        <f t="shared" si="6"/>
        <v/>
      </c>
      <c r="K51" s="32"/>
      <c r="L51" s="109">
        <f t="shared" si="7"/>
        <v>0</v>
      </c>
      <c r="M51" s="46" t="str">
        <f t="shared" si="8"/>
        <v/>
      </c>
      <c r="N51" s="32"/>
      <c r="O51" s="117"/>
      <c r="P51" s="118"/>
      <c r="Q51" s="307" t="str">
        <f t="shared" si="9"/>
        <v/>
      </c>
      <c r="R51" s="307"/>
      <c r="S51" s="305">
        <f t="shared" si="10"/>
        <v>0</v>
      </c>
      <c r="T51" s="306"/>
      <c r="U51" s="107">
        <f t="shared" si="11"/>
        <v>0</v>
      </c>
      <c r="V51" s="32"/>
      <c r="W51" s="32"/>
      <c r="X51" s="26"/>
      <c r="Y51" s="22"/>
      <c r="Z51" s="20"/>
    </row>
    <row r="52" spans="1:26" ht="15" customHeight="1" x14ac:dyDescent="0.25">
      <c r="A52" s="20"/>
      <c r="B52" s="22"/>
      <c r="C52" s="29"/>
      <c r="D52" s="32"/>
      <c r="E52" s="33"/>
      <c r="F52" s="116"/>
      <c r="G52" s="106"/>
      <c r="H52" s="106"/>
      <c r="I52" s="176"/>
      <c r="J52" s="32" t="str">
        <f t="shared" si="6"/>
        <v/>
      </c>
      <c r="K52" s="32"/>
      <c r="L52" s="109">
        <f t="shared" si="7"/>
        <v>0</v>
      </c>
      <c r="M52" s="46" t="str">
        <f t="shared" si="8"/>
        <v/>
      </c>
      <c r="N52" s="32"/>
      <c r="O52" s="117"/>
      <c r="P52" s="118"/>
      <c r="Q52" s="307" t="str">
        <f t="shared" si="9"/>
        <v/>
      </c>
      <c r="R52" s="307"/>
      <c r="S52" s="305">
        <f t="shared" si="10"/>
        <v>0</v>
      </c>
      <c r="T52" s="306"/>
      <c r="U52" s="107">
        <f t="shared" si="11"/>
        <v>0</v>
      </c>
      <c r="V52" s="32"/>
      <c r="W52" s="32"/>
      <c r="X52" s="26"/>
      <c r="Y52" s="22"/>
      <c r="Z52" s="20"/>
    </row>
    <row r="53" spans="1:26" ht="15" customHeight="1" x14ac:dyDescent="0.25">
      <c r="A53" s="20"/>
      <c r="B53" s="22"/>
      <c r="C53" s="29"/>
      <c r="D53" s="32"/>
      <c r="E53" s="33"/>
      <c r="F53" s="116"/>
      <c r="G53" s="106"/>
      <c r="H53" s="106"/>
      <c r="I53" s="176"/>
      <c r="J53" s="32" t="str">
        <f t="shared" si="6"/>
        <v/>
      </c>
      <c r="K53" s="32"/>
      <c r="L53" s="109">
        <f t="shared" si="7"/>
        <v>0</v>
      </c>
      <c r="M53" s="46" t="str">
        <f t="shared" si="8"/>
        <v/>
      </c>
      <c r="N53" s="32"/>
      <c r="O53" s="117"/>
      <c r="P53" s="118"/>
      <c r="Q53" s="307" t="str">
        <f t="shared" si="9"/>
        <v/>
      </c>
      <c r="R53" s="307"/>
      <c r="S53" s="305">
        <f t="shared" si="10"/>
        <v>0</v>
      </c>
      <c r="T53" s="306"/>
      <c r="U53" s="107">
        <f t="shared" si="11"/>
        <v>0</v>
      </c>
      <c r="V53" s="32"/>
      <c r="W53" s="32"/>
      <c r="X53" s="26"/>
      <c r="Y53" s="22"/>
      <c r="Z53" s="20"/>
    </row>
    <row r="54" spans="1:26" ht="15" customHeight="1" x14ac:dyDescent="0.25">
      <c r="A54" s="20"/>
      <c r="B54" s="22"/>
      <c r="C54" s="29"/>
      <c r="D54" s="32"/>
      <c r="E54" s="33"/>
      <c r="F54" s="32"/>
      <c r="G54" s="32"/>
      <c r="H54" s="32"/>
      <c r="I54" s="32"/>
      <c r="J54" s="32"/>
      <c r="K54" s="32"/>
      <c r="L54" s="32"/>
      <c r="M54" s="32"/>
      <c r="N54" s="32"/>
      <c r="O54" s="32"/>
      <c r="P54" s="39"/>
      <c r="Q54" s="218" t="s">
        <v>29</v>
      </c>
      <c r="R54" s="218"/>
      <c r="S54" s="219" t="s">
        <v>29</v>
      </c>
      <c r="T54" s="220"/>
      <c r="U54" s="49" t="s">
        <v>29</v>
      </c>
      <c r="V54" s="32"/>
      <c r="W54" s="32"/>
      <c r="X54" s="26"/>
      <c r="Y54" s="22"/>
      <c r="Z54" s="20"/>
    </row>
    <row r="55" spans="1:26" ht="15" customHeight="1" x14ac:dyDescent="0.25">
      <c r="A55" s="20"/>
      <c r="B55" s="22"/>
      <c r="C55" s="29"/>
      <c r="D55" s="32"/>
      <c r="E55" s="33"/>
      <c r="F55" s="32"/>
      <c r="G55" s="32"/>
      <c r="H55" s="32"/>
      <c r="I55" s="51"/>
      <c r="J55" s="32"/>
      <c r="K55" s="32"/>
      <c r="L55" s="32"/>
      <c r="M55" s="32"/>
      <c r="N55" s="32"/>
      <c r="O55" s="32"/>
      <c r="P55" s="32"/>
      <c r="Q55" s="307">
        <f>SUM(Q47:R53)</f>
        <v>1.9763305600000001</v>
      </c>
      <c r="R55" s="307"/>
      <c r="S55" s="305">
        <f>SUM(S47:T53)</f>
        <v>250.96261079365078</v>
      </c>
      <c r="T55" s="306"/>
      <c r="U55" s="108">
        <f>SUM(U47:U53)</f>
        <v>100</v>
      </c>
      <c r="V55" s="32"/>
      <c r="W55" s="32"/>
      <c r="X55" s="26"/>
      <c r="Y55" s="22"/>
      <c r="Z55" s="20"/>
    </row>
    <row r="56" spans="1:26" ht="15" customHeight="1" x14ac:dyDescent="0.25">
      <c r="A56" s="20"/>
      <c r="B56" s="22"/>
      <c r="C56" s="29"/>
      <c r="D56" s="32"/>
      <c r="E56" s="32"/>
      <c r="F56" s="32"/>
      <c r="G56" s="32"/>
      <c r="H56" s="32"/>
      <c r="I56" s="32"/>
      <c r="J56" s="32"/>
      <c r="K56" s="32"/>
      <c r="L56" s="32"/>
      <c r="M56" s="32"/>
      <c r="N56" s="32"/>
      <c r="O56" s="32"/>
      <c r="P56" s="32"/>
      <c r="Q56" s="32"/>
      <c r="R56" s="32"/>
      <c r="S56" s="32"/>
      <c r="T56" s="32"/>
      <c r="U56" s="32"/>
      <c r="V56" s="32"/>
      <c r="W56" s="32"/>
      <c r="X56" s="26"/>
      <c r="Y56" s="22"/>
      <c r="Z56" s="20"/>
    </row>
    <row r="57" spans="1:26" ht="15" customHeight="1" x14ac:dyDescent="0.25">
      <c r="A57" s="20"/>
      <c r="B57" s="22"/>
      <c r="C57" s="29"/>
      <c r="D57" s="27" t="s">
        <v>30</v>
      </c>
      <c r="E57" s="25"/>
      <c r="F57" s="25"/>
      <c r="G57" s="25"/>
      <c r="H57" s="25"/>
      <c r="I57" s="25"/>
      <c r="J57" s="25"/>
      <c r="K57" s="25"/>
      <c r="L57" s="25"/>
      <c r="M57" s="25"/>
      <c r="N57" s="25"/>
      <c r="O57" s="25"/>
      <c r="P57" s="25"/>
      <c r="Q57" s="25"/>
      <c r="R57" s="25"/>
      <c r="S57" s="25"/>
      <c r="T57" s="25"/>
      <c r="U57" s="25"/>
      <c r="V57" s="25"/>
      <c r="W57" s="25"/>
      <c r="X57" s="26"/>
      <c r="Y57" s="22"/>
      <c r="Z57" s="20"/>
    </row>
    <row r="58" spans="1:26" ht="15" customHeight="1" x14ac:dyDescent="0.25">
      <c r="A58" s="20"/>
      <c r="B58" s="22"/>
      <c r="C58" s="29"/>
      <c r="D58" s="32"/>
      <c r="E58" s="32"/>
      <c r="F58" s="32"/>
      <c r="G58" s="32"/>
      <c r="H58" s="32"/>
      <c r="I58" s="32"/>
      <c r="J58" s="44"/>
      <c r="K58" s="44"/>
      <c r="L58" s="32"/>
      <c r="M58" s="32"/>
      <c r="N58" s="32"/>
      <c r="O58" s="32"/>
      <c r="P58" s="32"/>
      <c r="Q58" s="32"/>
      <c r="R58" s="32"/>
      <c r="S58" s="32"/>
      <c r="T58" s="32"/>
      <c r="U58" s="32"/>
      <c r="V58" s="32"/>
      <c r="W58" s="32"/>
      <c r="X58" s="26"/>
      <c r="Y58" s="22"/>
      <c r="Z58" s="20"/>
    </row>
    <row r="59" spans="1:26" ht="15" customHeight="1" x14ac:dyDescent="0.25">
      <c r="A59" s="20"/>
      <c r="B59" s="22"/>
      <c r="C59" s="29"/>
      <c r="D59" s="32"/>
      <c r="E59" s="33"/>
      <c r="F59" s="243" t="s">
        <v>30</v>
      </c>
      <c r="G59" s="243"/>
      <c r="H59" s="45"/>
      <c r="I59" s="243" t="s">
        <v>17</v>
      </c>
      <c r="J59" s="243"/>
      <c r="K59" s="32"/>
      <c r="L59" s="243" t="s">
        <v>18</v>
      </c>
      <c r="M59" s="243"/>
      <c r="N59" s="243"/>
      <c r="O59" s="243" t="s">
        <v>19</v>
      </c>
      <c r="P59" s="243"/>
      <c r="Q59" s="45" t="s">
        <v>69</v>
      </c>
      <c r="R59" s="45"/>
      <c r="S59" s="45" t="str">
        <f>CONCATENATE("Cost/ton of ",H10)</f>
        <v>Cost/ton of Carvone</v>
      </c>
      <c r="T59" s="45"/>
      <c r="U59" s="45" t="s">
        <v>27</v>
      </c>
      <c r="V59" s="32"/>
      <c r="W59" s="32"/>
      <c r="X59" s="26"/>
      <c r="Y59" s="22"/>
      <c r="Z59" s="20"/>
    </row>
    <row r="60" spans="1:26" ht="15" customHeight="1" x14ac:dyDescent="0.25">
      <c r="A60" s="20"/>
      <c r="B60" s="22"/>
      <c r="C60" s="29"/>
      <c r="D60" s="32"/>
      <c r="E60" s="33"/>
      <c r="F60" s="240"/>
      <c r="G60" s="240"/>
      <c r="H60" s="44"/>
      <c r="I60" s="240"/>
      <c r="J60" s="240"/>
      <c r="K60" s="44"/>
      <c r="L60" s="240"/>
      <c r="M60" s="240"/>
      <c r="N60" s="240"/>
      <c r="O60" s="240"/>
      <c r="P60" s="240"/>
      <c r="Q60" s="44" t="s">
        <v>24</v>
      </c>
      <c r="R60" s="44"/>
      <c r="S60" s="44" t="s">
        <v>26</v>
      </c>
      <c r="T60" s="44"/>
      <c r="U60" s="44" t="s">
        <v>42</v>
      </c>
      <c r="V60" s="32"/>
      <c r="W60" s="32"/>
      <c r="X60" s="26"/>
      <c r="Y60" s="22"/>
      <c r="Z60" s="20"/>
    </row>
    <row r="61" spans="1:26" ht="15" customHeight="1" x14ac:dyDescent="0.25">
      <c r="A61" s="20"/>
      <c r="B61" s="22"/>
      <c r="C61" s="29"/>
      <c r="D61" s="32"/>
      <c r="E61" s="33"/>
      <c r="F61" s="116"/>
      <c r="G61" s="106"/>
      <c r="H61" s="106"/>
      <c r="I61" s="117"/>
      <c r="J61" s="32" t="str">
        <f>IF(P61="","",CONCATENATE("USD/",IF(OR(RIGHT(P61,2)="/h",RIGHT(P61,2)="/s"),LEFT(P61,LEN(P61)-2),IF(P61="kW","kWh",P61))))</f>
        <v/>
      </c>
      <c r="K61" s="32"/>
      <c r="L61" s="109">
        <f>O61/(1000*$I$13/IF(RIGHT(P61,1)="s",3600*($I$15),$I$15))</f>
        <v>0</v>
      </c>
      <c r="M61" s="46" t="str">
        <f>IF(P61="","",CONCATENATE(IF(OR(RIGHT(P61,2)="/h",RIGHT(P61,2)="/s"),LEFT(P61,LEN(P61)-2),IF(P61="kW","kWh",P61)),"/ton ",$H$10))</f>
        <v/>
      </c>
      <c r="N61" s="32"/>
      <c r="O61" s="117"/>
      <c r="P61" s="118"/>
      <c r="Q61" s="307" t="str">
        <f>IF(O61="","",IF(RIGHT(P61,1)="s",I61*O61*$I$15*3600/1000000,I61*O61*$I$15/1000000))</f>
        <v/>
      </c>
      <c r="R61" s="307"/>
      <c r="S61" s="305">
        <f>IF(L61="","",L61*I61)</f>
        <v>0</v>
      </c>
      <c r="T61" s="306"/>
      <c r="U61" s="107" t="str">
        <f>IF($S$69=0,"",S61/$S$69*100)</f>
        <v/>
      </c>
      <c r="V61" s="32"/>
      <c r="W61" s="32"/>
      <c r="X61" s="26"/>
      <c r="Y61" s="22"/>
      <c r="Z61" s="20"/>
    </row>
    <row r="62" spans="1:26" ht="15" customHeight="1" x14ac:dyDescent="0.25">
      <c r="A62" s="20"/>
      <c r="B62" s="22"/>
      <c r="C62" s="29"/>
      <c r="D62" s="32"/>
      <c r="E62" s="33"/>
      <c r="F62" s="116"/>
      <c r="G62" s="106"/>
      <c r="H62" s="106"/>
      <c r="I62" s="117"/>
      <c r="J62" s="32" t="str">
        <f t="shared" ref="J62:J67" si="12">IF(P62="","",CONCATENATE("USD/",IF(OR(RIGHT(P62,2)="/h",RIGHT(P62,2)="/s"),LEFT(P62,LEN(P62)-2),IF(P62="kW","kWh",P62))))</f>
        <v/>
      </c>
      <c r="K62" s="32"/>
      <c r="L62" s="109">
        <f t="shared" ref="L62:L67" si="13">O62/(1000*$I$13/IF(RIGHT(P62,1)="s",3600*($I$15),$I$15))</f>
        <v>0</v>
      </c>
      <c r="M62" s="46" t="str">
        <f t="shared" ref="M62:M67" si="14">IF(P62="","",CONCATENATE(IF(OR(RIGHT(P62,2)="/h",RIGHT(P62,2)="/s"),LEFT(P62,LEN(P62)-2),IF(P62="kW","kWh",P62)),"/ton ",$H$10))</f>
        <v/>
      </c>
      <c r="N62" s="32"/>
      <c r="O62" s="117"/>
      <c r="P62" s="118"/>
      <c r="Q62" s="307" t="str">
        <f t="shared" ref="Q62:Q67" si="15">IF(O62="","",IF(RIGHT(P62,1)="s",I62*O62*$I$15*3600/1000000,I62*O62*$I$15/1000000))</f>
        <v/>
      </c>
      <c r="R62" s="307"/>
      <c r="S62" s="305">
        <f t="shared" ref="S62:S67" si="16">IF(L62="","",L62*I62)</f>
        <v>0</v>
      </c>
      <c r="T62" s="306"/>
      <c r="U62" s="107" t="str">
        <f t="shared" ref="U62:U67" si="17">IF($S$69=0,"",S62/$S$69*100)</f>
        <v/>
      </c>
      <c r="V62" s="32"/>
      <c r="W62" s="32"/>
      <c r="X62" s="26"/>
      <c r="Y62" s="22"/>
      <c r="Z62" s="20"/>
    </row>
    <row r="63" spans="1:26" ht="15" customHeight="1" x14ac:dyDescent="0.25">
      <c r="A63" s="20"/>
      <c r="B63" s="22"/>
      <c r="C63" s="29"/>
      <c r="D63" s="32"/>
      <c r="E63" s="33"/>
      <c r="F63" s="116"/>
      <c r="G63" s="106"/>
      <c r="H63" s="106"/>
      <c r="I63" s="117"/>
      <c r="J63" s="32" t="str">
        <f t="shared" si="12"/>
        <v/>
      </c>
      <c r="K63" s="32"/>
      <c r="L63" s="109">
        <f t="shared" si="13"/>
        <v>0</v>
      </c>
      <c r="M63" s="46" t="str">
        <f t="shared" si="14"/>
        <v/>
      </c>
      <c r="N63" s="32"/>
      <c r="O63" s="117"/>
      <c r="P63" s="118"/>
      <c r="Q63" s="307" t="str">
        <f t="shared" si="15"/>
        <v/>
      </c>
      <c r="R63" s="307"/>
      <c r="S63" s="305">
        <f t="shared" si="16"/>
        <v>0</v>
      </c>
      <c r="T63" s="306"/>
      <c r="U63" s="107" t="str">
        <f t="shared" si="17"/>
        <v/>
      </c>
      <c r="V63" s="32"/>
      <c r="W63" s="32"/>
      <c r="X63" s="26"/>
      <c r="Y63" s="22"/>
      <c r="Z63" s="20"/>
    </row>
    <row r="64" spans="1:26" ht="15" customHeight="1" x14ac:dyDescent="0.25">
      <c r="A64" s="20"/>
      <c r="B64" s="22"/>
      <c r="C64" s="29"/>
      <c r="D64" s="32"/>
      <c r="E64" s="33"/>
      <c r="F64" s="116"/>
      <c r="G64" s="106"/>
      <c r="H64" s="106"/>
      <c r="I64" s="117"/>
      <c r="J64" s="32" t="str">
        <f t="shared" si="12"/>
        <v/>
      </c>
      <c r="K64" s="32"/>
      <c r="L64" s="109">
        <f t="shared" si="13"/>
        <v>0</v>
      </c>
      <c r="M64" s="46" t="str">
        <f t="shared" si="14"/>
        <v/>
      </c>
      <c r="N64" s="32"/>
      <c r="O64" s="117"/>
      <c r="P64" s="118"/>
      <c r="Q64" s="307" t="str">
        <f t="shared" si="15"/>
        <v/>
      </c>
      <c r="R64" s="307"/>
      <c r="S64" s="305">
        <f t="shared" si="16"/>
        <v>0</v>
      </c>
      <c r="T64" s="306"/>
      <c r="U64" s="107" t="str">
        <f t="shared" si="17"/>
        <v/>
      </c>
      <c r="V64" s="32"/>
      <c r="W64" s="32"/>
      <c r="X64" s="26"/>
      <c r="Y64" s="22"/>
      <c r="Z64" s="20"/>
    </row>
    <row r="65" spans="1:26" ht="15" customHeight="1" x14ac:dyDescent="0.25">
      <c r="A65" s="20"/>
      <c r="B65" s="22"/>
      <c r="C65" s="29"/>
      <c r="D65" s="32"/>
      <c r="E65" s="33"/>
      <c r="F65" s="116"/>
      <c r="G65" s="106"/>
      <c r="H65" s="106"/>
      <c r="I65" s="117"/>
      <c r="J65" s="32" t="str">
        <f t="shared" si="12"/>
        <v/>
      </c>
      <c r="K65" s="32"/>
      <c r="L65" s="109">
        <f t="shared" si="13"/>
        <v>0</v>
      </c>
      <c r="M65" s="46" t="str">
        <f t="shared" si="14"/>
        <v/>
      </c>
      <c r="N65" s="32"/>
      <c r="O65" s="117"/>
      <c r="P65" s="118"/>
      <c r="Q65" s="307" t="str">
        <f t="shared" si="15"/>
        <v/>
      </c>
      <c r="R65" s="307"/>
      <c r="S65" s="305">
        <f t="shared" si="16"/>
        <v>0</v>
      </c>
      <c r="T65" s="306"/>
      <c r="U65" s="107" t="str">
        <f t="shared" si="17"/>
        <v/>
      </c>
      <c r="V65" s="32"/>
      <c r="W65" s="32"/>
      <c r="X65" s="26"/>
      <c r="Y65" s="22"/>
      <c r="Z65" s="20"/>
    </row>
    <row r="66" spans="1:26" ht="15" customHeight="1" x14ac:dyDescent="0.25">
      <c r="A66" s="20"/>
      <c r="B66" s="22"/>
      <c r="C66" s="29"/>
      <c r="D66" s="32"/>
      <c r="E66" s="33"/>
      <c r="F66" s="116"/>
      <c r="G66" s="106"/>
      <c r="H66" s="106"/>
      <c r="I66" s="117"/>
      <c r="J66" s="32" t="str">
        <f t="shared" si="12"/>
        <v/>
      </c>
      <c r="K66" s="32"/>
      <c r="L66" s="109">
        <f t="shared" si="13"/>
        <v>0</v>
      </c>
      <c r="M66" s="46" t="str">
        <f t="shared" si="14"/>
        <v/>
      </c>
      <c r="N66" s="32"/>
      <c r="O66" s="117"/>
      <c r="P66" s="118"/>
      <c r="Q66" s="307" t="str">
        <f t="shared" si="15"/>
        <v/>
      </c>
      <c r="R66" s="307"/>
      <c r="S66" s="305">
        <f t="shared" si="16"/>
        <v>0</v>
      </c>
      <c r="T66" s="306"/>
      <c r="U66" s="107" t="str">
        <f t="shared" si="17"/>
        <v/>
      </c>
      <c r="V66" s="32"/>
      <c r="W66" s="32"/>
      <c r="X66" s="26"/>
      <c r="Y66" s="22"/>
      <c r="Z66" s="20"/>
    </row>
    <row r="67" spans="1:26" ht="15" customHeight="1" x14ac:dyDescent="0.25">
      <c r="A67" s="20"/>
      <c r="B67" s="22"/>
      <c r="C67" s="29"/>
      <c r="D67" s="32"/>
      <c r="E67" s="33"/>
      <c r="F67" s="116"/>
      <c r="G67" s="106"/>
      <c r="H67" s="106"/>
      <c r="I67" s="117"/>
      <c r="J67" s="32" t="str">
        <f t="shared" si="12"/>
        <v/>
      </c>
      <c r="K67" s="32"/>
      <c r="L67" s="109">
        <f t="shared" si="13"/>
        <v>0</v>
      </c>
      <c r="M67" s="46" t="str">
        <f t="shared" si="14"/>
        <v/>
      </c>
      <c r="N67" s="32"/>
      <c r="O67" s="117"/>
      <c r="P67" s="118"/>
      <c r="Q67" s="307" t="str">
        <f t="shared" si="15"/>
        <v/>
      </c>
      <c r="R67" s="307"/>
      <c r="S67" s="305">
        <f t="shared" si="16"/>
        <v>0</v>
      </c>
      <c r="T67" s="306"/>
      <c r="U67" s="107" t="str">
        <f t="shared" si="17"/>
        <v/>
      </c>
      <c r="V67" s="32"/>
      <c r="W67" s="32"/>
      <c r="X67" s="26"/>
      <c r="Y67" s="22"/>
      <c r="Z67" s="20"/>
    </row>
    <row r="68" spans="1:26" ht="15" customHeight="1" x14ac:dyDescent="0.25">
      <c r="A68" s="20"/>
      <c r="B68" s="22"/>
      <c r="C68" s="29"/>
      <c r="D68" s="32"/>
      <c r="E68" s="33"/>
      <c r="F68" s="32"/>
      <c r="G68" s="32"/>
      <c r="H68" s="32"/>
      <c r="I68" s="32"/>
      <c r="J68" s="32"/>
      <c r="K68" s="32"/>
      <c r="L68" s="32"/>
      <c r="M68" s="32"/>
      <c r="N68" s="32"/>
      <c r="O68" s="32"/>
      <c r="P68" s="39"/>
      <c r="Q68" s="218" t="s">
        <v>29</v>
      </c>
      <c r="R68" s="218"/>
      <c r="S68" s="219" t="s">
        <v>29</v>
      </c>
      <c r="T68" s="220"/>
      <c r="U68" s="49" t="s">
        <v>29</v>
      </c>
      <c r="V68" s="32"/>
      <c r="W68" s="32"/>
      <c r="X68" s="26"/>
      <c r="Y68" s="22"/>
      <c r="Z68" s="20"/>
    </row>
    <row r="69" spans="1:26" ht="15" customHeight="1" x14ac:dyDescent="0.25">
      <c r="A69" s="20"/>
      <c r="B69" s="22"/>
      <c r="C69" s="29"/>
      <c r="D69" s="32"/>
      <c r="E69" s="33"/>
      <c r="F69" s="32"/>
      <c r="G69" s="32"/>
      <c r="H69" s="32"/>
      <c r="I69" s="32"/>
      <c r="J69" s="32"/>
      <c r="K69" s="32"/>
      <c r="L69" s="32"/>
      <c r="M69" s="32"/>
      <c r="N69" s="32"/>
      <c r="O69" s="32"/>
      <c r="P69" s="32"/>
      <c r="Q69" s="307">
        <f>SUM(Q61:R67)</f>
        <v>0</v>
      </c>
      <c r="R69" s="307"/>
      <c r="S69" s="305">
        <f>SUM(S61:T67)</f>
        <v>0</v>
      </c>
      <c r="T69" s="306"/>
      <c r="U69" s="108">
        <f>SUM(U61:U67)</f>
        <v>0</v>
      </c>
      <c r="V69" s="32"/>
      <c r="W69" s="32"/>
      <c r="X69" s="26"/>
      <c r="Y69" s="22"/>
      <c r="Z69" s="20"/>
    </row>
    <row r="70" spans="1:26" ht="15" customHeight="1" x14ac:dyDescent="0.25">
      <c r="A70" s="20"/>
      <c r="B70" s="22"/>
      <c r="C70" s="29"/>
      <c r="D70" s="32"/>
      <c r="E70" s="32"/>
      <c r="F70" s="32"/>
      <c r="G70" s="32"/>
      <c r="H70" s="32"/>
      <c r="I70" s="32"/>
      <c r="J70" s="32"/>
      <c r="K70" s="32"/>
      <c r="L70" s="32"/>
      <c r="M70" s="32"/>
      <c r="N70" s="32"/>
      <c r="O70" s="32"/>
      <c r="P70" s="32"/>
      <c r="Q70" s="32"/>
      <c r="R70" s="32"/>
      <c r="S70" s="32"/>
      <c r="T70" s="32"/>
      <c r="U70" s="32"/>
      <c r="V70" s="32"/>
      <c r="W70" s="32"/>
      <c r="X70" s="26"/>
      <c r="Y70" s="22"/>
      <c r="Z70" s="20"/>
    </row>
    <row r="71" spans="1:26" ht="3.75" customHeight="1" thickBot="1" x14ac:dyDescent="0.3">
      <c r="A71" s="20"/>
      <c r="B71" s="26"/>
      <c r="C71" s="30"/>
      <c r="D71" s="24"/>
      <c r="E71" s="24"/>
      <c r="F71" s="24"/>
      <c r="G71" s="24"/>
      <c r="H71" s="24"/>
      <c r="I71" s="24"/>
      <c r="J71" s="24"/>
      <c r="K71" s="24"/>
      <c r="L71" s="24"/>
      <c r="M71" s="24"/>
      <c r="N71" s="24"/>
      <c r="O71" s="24"/>
      <c r="P71" s="24"/>
      <c r="Q71" s="24"/>
      <c r="R71" s="24"/>
      <c r="S71" s="24"/>
      <c r="T71" s="24"/>
      <c r="U71" s="24"/>
      <c r="V71" s="24"/>
      <c r="W71" s="24"/>
      <c r="X71" s="31"/>
      <c r="Y71" s="25"/>
      <c r="Z71" s="20"/>
    </row>
    <row r="72" spans="1:26" ht="3.75" customHeight="1" thickTop="1" x14ac:dyDescent="0.25">
      <c r="A72" s="20"/>
      <c r="B72" s="22"/>
      <c r="C72" s="22"/>
      <c r="D72" s="22"/>
      <c r="E72" s="22"/>
      <c r="F72" s="22"/>
      <c r="G72" s="22"/>
      <c r="H72" s="22"/>
      <c r="I72" s="22"/>
      <c r="J72" s="22"/>
      <c r="K72" s="22"/>
      <c r="L72" s="22"/>
      <c r="M72" s="22"/>
      <c r="N72" s="22"/>
      <c r="O72" s="22"/>
      <c r="P72" s="22"/>
      <c r="Q72" s="22"/>
      <c r="R72" s="22"/>
      <c r="S72" s="22"/>
      <c r="T72" s="22"/>
      <c r="U72" s="22"/>
      <c r="V72" s="22"/>
      <c r="W72" s="22"/>
      <c r="X72" s="22"/>
      <c r="Y72" s="22"/>
      <c r="Z72" s="20"/>
    </row>
    <row r="73" spans="1:26" ht="7.5" customHeight="1" x14ac:dyDescent="0.25">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7.5" customHeight="1" x14ac:dyDescent="0.25">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3.75" customHeight="1" thickBot="1" x14ac:dyDescent="0.3">
      <c r="A75" s="20"/>
      <c r="B75" s="22"/>
      <c r="C75" s="24"/>
      <c r="D75" s="24"/>
      <c r="E75" s="24"/>
      <c r="F75" s="24"/>
      <c r="G75" s="24"/>
      <c r="H75" s="24"/>
      <c r="I75" s="24"/>
      <c r="J75" s="24"/>
      <c r="K75" s="24"/>
      <c r="L75" s="24"/>
      <c r="M75" s="24"/>
      <c r="N75" s="24"/>
      <c r="O75" s="24"/>
      <c r="P75" s="24"/>
      <c r="Q75" s="24"/>
      <c r="R75" s="24"/>
      <c r="S75" s="24"/>
      <c r="T75" s="24"/>
      <c r="U75" s="24"/>
      <c r="V75" s="24"/>
      <c r="W75" s="24"/>
      <c r="X75" s="24"/>
      <c r="Y75" s="22"/>
      <c r="Z75" s="20"/>
    </row>
    <row r="76" spans="1:26" ht="3.75" customHeight="1" thickTop="1" x14ac:dyDescent="0.25">
      <c r="A76" s="20"/>
      <c r="B76" s="26"/>
      <c r="C76" s="25"/>
      <c r="D76" s="25"/>
      <c r="E76" s="25"/>
      <c r="F76" s="25"/>
      <c r="G76" s="25"/>
      <c r="H76" s="25"/>
      <c r="I76" s="25"/>
      <c r="J76" s="25"/>
      <c r="K76" s="25"/>
      <c r="L76" s="25"/>
      <c r="M76" s="25"/>
      <c r="N76" s="25"/>
      <c r="O76" s="25"/>
      <c r="P76" s="25"/>
      <c r="Q76" s="25"/>
      <c r="R76" s="25"/>
      <c r="S76" s="25"/>
      <c r="T76" s="25"/>
      <c r="U76" s="25"/>
      <c r="V76" s="25"/>
      <c r="W76" s="25"/>
      <c r="X76" s="26"/>
      <c r="Y76" s="25"/>
      <c r="Z76" s="20"/>
    </row>
    <row r="77" spans="1:26" ht="15" customHeight="1" x14ac:dyDescent="0.25">
      <c r="A77" s="20"/>
      <c r="B77" s="22"/>
      <c r="C77" s="29"/>
      <c r="D77" s="25"/>
      <c r="E77" s="25"/>
      <c r="F77" s="25"/>
      <c r="G77" s="25"/>
      <c r="H77" s="25"/>
      <c r="I77" s="25"/>
      <c r="J77" s="25"/>
      <c r="K77" s="25"/>
      <c r="L77" s="25"/>
      <c r="M77" s="25"/>
      <c r="N77" s="25"/>
      <c r="O77" s="25"/>
      <c r="P77" s="25"/>
      <c r="Q77" s="25"/>
      <c r="R77" s="25"/>
      <c r="S77" s="25"/>
      <c r="T77" s="25"/>
      <c r="U77" s="25"/>
      <c r="V77" s="25"/>
      <c r="W77" s="25"/>
      <c r="X77" s="26"/>
      <c r="Y77" s="22"/>
      <c r="Z77" s="20"/>
    </row>
    <row r="78" spans="1:26" ht="15" customHeight="1" x14ac:dyDescent="0.25">
      <c r="A78" s="20"/>
      <c r="B78" s="22"/>
      <c r="C78" s="29"/>
      <c r="D78" s="27" t="s">
        <v>31</v>
      </c>
      <c r="E78" s="25"/>
      <c r="F78" s="25"/>
      <c r="G78" s="25"/>
      <c r="H78" s="25"/>
      <c r="I78" s="25"/>
      <c r="J78" s="25"/>
      <c r="K78" s="25"/>
      <c r="L78" s="25"/>
      <c r="M78" s="25"/>
      <c r="N78" s="25"/>
      <c r="O78" s="25"/>
      <c r="P78" s="25"/>
      <c r="Q78" s="25"/>
      <c r="R78" s="25"/>
      <c r="S78" s="25"/>
      <c r="T78" s="25"/>
      <c r="U78" s="25"/>
      <c r="V78" s="25"/>
      <c r="W78" s="25"/>
      <c r="X78" s="26"/>
      <c r="Y78" s="22"/>
      <c r="Z78" s="20"/>
    </row>
    <row r="79" spans="1:26" ht="15" customHeight="1" x14ac:dyDescent="0.25">
      <c r="A79" s="20"/>
      <c r="B79" s="26"/>
      <c r="C79" s="25"/>
      <c r="D79" s="25"/>
      <c r="E79" s="25"/>
      <c r="F79" s="25"/>
      <c r="G79" s="25"/>
      <c r="H79" s="25"/>
      <c r="I79" s="25"/>
      <c r="J79" s="25"/>
      <c r="K79" s="25"/>
      <c r="L79" s="25"/>
      <c r="M79" s="25"/>
      <c r="N79" s="25"/>
      <c r="O79" s="25"/>
      <c r="P79" s="25"/>
      <c r="Q79" s="25"/>
      <c r="R79" s="25"/>
      <c r="S79" s="25"/>
      <c r="T79" s="25"/>
      <c r="U79" s="25"/>
      <c r="V79" s="25"/>
      <c r="W79" s="25"/>
      <c r="X79" s="26"/>
      <c r="Y79" s="22"/>
      <c r="Z79" s="20"/>
    </row>
    <row r="80" spans="1:26" ht="3.75" customHeight="1" thickBot="1" x14ac:dyDescent="0.3">
      <c r="A80" s="20"/>
      <c r="B80" s="26"/>
      <c r="C80" s="30"/>
      <c r="D80" s="24"/>
      <c r="E80" s="24"/>
      <c r="F80" s="24"/>
      <c r="G80" s="24"/>
      <c r="H80" s="24"/>
      <c r="I80" s="24"/>
      <c r="J80" s="24"/>
      <c r="K80" s="24"/>
      <c r="L80" s="24"/>
      <c r="M80" s="24"/>
      <c r="N80" s="24"/>
      <c r="O80" s="24"/>
      <c r="P80" s="24"/>
      <c r="Q80" s="24"/>
      <c r="R80" s="24"/>
      <c r="S80" s="24"/>
      <c r="T80" s="24"/>
      <c r="U80" s="24"/>
      <c r="V80" s="24"/>
      <c r="W80" s="24"/>
      <c r="X80" s="31"/>
      <c r="Y80" s="25"/>
      <c r="Z80" s="20"/>
    </row>
    <row r="81" spans="1:26" ht="3.75" customHeight="1" thickTop="1" x14ac:dyDescent="0.25">
      <c r="A81" s="20"/>
      <c r="B81" s="26"/>
      <c r="C81" s="25"/>
      <c r="D81" s="25"/>
      <c r="E81" s="25"/>
      <c r="F81" s="25"/>
      <c r="G81" s="25"/>
      <c r="H81" s="25"/>
      <c r="I81" s="25"/>
      <c r="J81" s="25"/>
      <c r="K81" s="25"/>
      <c r="L81" s="52"/>
      <c r="M81" s="25"/>
      <c r="N81" s="25"/>
      <c r="O81" s="25"/>
      <c r="P81" s="25"/>
      <c r="Q81" s="25"/>
      <c r="R81" s="25"/>
      <c r="S81" s="25"/>
      <c r="T81" s="25"/>
      <c r="U81" s="25"/>
      <c r="V81" s="25"/>
      <c r="W81" s="25"/>
      <c r="X81" s="26"/>
      <c r="Y81" s="25"/>
      <c r="Z81" s="20"/>
    </row>
    <row r="82" spans="1:26" ht="15" customHeight="1" x14ac:dyDescent="0.25">
      <c r="A82" s="20"/>
      <c r="B82" s="22"/>
      <c r="C82" s="29"/>
      <c r="D82" s="27" t="s">
        <v>9</v>
      </c>
      <c r="E82" s="25"/>
      <c r="F82" s="25"/>
      <c r="G82" s="25"/>
      <c r="H82" s="25"/>
      <c r="I82" s="25"/>
      <c r="J82" s="25"/>
      <c r="K82" s="25"/>
      <c r="L82" s="26"/>
      <c r="M82" s="27" t="s">
        <v>10</v>
      </c>
      <c r="N82" s="25"/>
      <c r="O82" s="25"/>
      <c r="P82" s="25"/>
      <c r="Q82" s="25"/>
      <c r="R82" s="22"/>
      <c r="S82" s="25"/>
      <c r="T82" s="25"/>
      <c r="U82" s="25"/>
      <c r="V82" s="25"/>
      <c r="W82" s="25"/>
      <c r="X82" s="26"/>
      <c r="Y82" s="22"/>
      <c r="Z82" s="20"/>
    </row>
    <row r="83" spans="1:26" ht="15" customHeight="1" thickBot="1" x14ac:dyDescent="0.3">
      <c r="A83" s="20"/>
      <c r="B83" s="22"/>
      <c r="C83" s="29"/>
      <c r="D83" s="32"/>
      <c r="E83" s="32"/>
      <c r="F83" s="53"/>
      <c r="G83" s="53"/>
      <c r="H83" s="53"/>
      <c r="I83" s="53"/>
      <c r="J83" s="53"/>
      <c r="K83" s="53"/>
      <c r="L83" s="54"/>
      <c r="M83" s="32"/>
      <c r="N83" s="32"/>
      <c r="O83" s="32"/>
      <c r="P83" s="32"/>
      <c r="Q83" s="32"/>
      <c r="R83" s="33"/>
      <c r="S83" s="53"/>
      <c r="T83" s="53"/>
      <c r="U83" s="53"/>
      <c r="V83" s="32"/>
      <c r="W83" s="32"/>
      <c r="X83" s="26"/>
      <c r="Y83" s="22"/>
      <c r="Z83" s="20"/>
    </row>
    <row r="84" spans="1:26" ht="15" customHeight="1" thickTop="1" x14ac:dyDescent="0.25">
      <c r="A84" s="20"/>
      <c r="B84" s="22"/>
      <c r="C84" s="29"/>
      <c r="D84" s="32"/>
      <c r="E84" s="33"/>
      <c r="F84" s="55" t="s">
        <v>39</v>
      </c>
      <c r="G84" s="33"/>
      <c r="H84" s="33"/>
      <c r="I84" s="33"/>
      <c r="J84" s="33"/>
      <c r="K84" s="33"/>
      <c r="L84" s="54"/>
      <c r="M84" s="32"/>
      <c r="N84" s="56" t="s">
        <v>47</v>
      </c>
      <c r="O84" s="57"/>
      <c r="P84" s="57"/>
      <c r="Q84" s="57"/>
      <c r="R84" s="57"/>
      <c r="S84" s="281" t="s">
        <v>13</v>
      </c>
      <c r="T84" s="281"/>
      <c r="U84" s="281"/>
      <c r="V84" s="32"/>
      <c r="W84" s="32"/>
      <c r="X84" s="26"/>
      <c r="Y84" s="22"/>
      <c r="Z84" s="20"/>
    </row>
    <row r="85" spans="1:26" ht="15" customHeight="1" x14ac:dyDescent="0.25">
      <c r="A85" s="20"/>
      <c r="B85" s="22"/>
      <c r="C85" s="29"/>
      <c r="D85" s="32"/>
      <c r="E85" s="33"/>
      <c r="F85" s="226" t="s">
        <v>33</v>
      </c>
      <c r="G85" s="226"/>
      <c r="H85" s="226"/>
      <c r="I85" s="312">
        <v>7.875</v>
      </c>
      <c r="J85" s="223" t="s">
        <v>6</v>
      </c>
      <c r="K85" s="32"/>
      <c r="L85" s="54"/>
      <c r="M85" s="32"/>
      <c r="N85" s="32" t="s">
        <v>43</v>
      </c>
      <c r="O85" s="32"/>
      <c r="P85" s="32"/>
      <c r="Q85" s="32"/>
      <c r="R85" s="33"/>
      <c r="S85" s="32"/>
      <c r="T85" s="109">
        <f>$Q$41</f>
        <v>46.058088720000001</v>
      </c>
      <c r="U85" s="32"/>
      <c r="V85" s="32"/>
      <c r="W85" s="32"/>
      <c r="X85" s="26"/>
      <c r="Y85" s="22"/>
      <c r="Z85" s="20"/>
    </row>
    <row r="86" spans="1:26" ht="15" customHeight="1" x14ac:dyDescent="0.25">
      <c r="A86" s="20"/>
      <c r="B86" s="22"/>
      <c r="C86" s="29"/>
      <c r="D86" s="32"/>
      <c r="E86" s="33"/>
      <c r="F86" s="226"/>
      <c r="G86" s="226"/>
      <c r="H86" s="226"/>
      <c r="I86" s="312"/>
      <c r="J86" s="223"/>
      <c r="K86" s="32"/>
      <c r="L86" s="54"/>
      <c r="M86" s="32"/>
      <c r="N86" s="32" t="s">
        <v>45</v>
      </c>
      <c r="O86" s="32"/>
      <c r="P86" s="32"/>
      <c r="Q86" s="32"/>
      <c r="R86" s="33"/>
      <c r="S86" s="32"/>
      <c r="T86" s="107">
        <f>Q55</f>
        <v>1.9763305600000001</v>
      </c>
      <c r="U86" s="32"/>
      <c r="V86" s="32"/>
      <c r="W86" s="32"/>
      <c r="X86" s="26"/>
      <c r="Y86" s="22"/>
      <c r="Z86" s="20"/>
    </row>
    <row r="87" spans="1:26" ht="15" customHeight="1" x14ac:dyDescent="0.25">
      <c r="A87" s="20"/>
      <c r="B87" s="22"/>
      <c r="C87" s="29"/>
      <c r="D87" s="32"/>
      <c r="E87" s="33"/>
      <c r="F87" s="284" t="s">
        <v>34</v>
      </c>
      <c r="G87" s="226"/>
      <c r="H87" s="226"/>
      <c r="I87" s="312">
        <v>53.15</v>
      </c>
      <c r="J87" s="223" t="s">
        <v>12</v>
      </c>
      <c r="K87" s="225"/>
      <c r="L87" s="54"/>
      <c r="M87" s="32"/>
      <c r="N87" s="32" t="s">
        <v>46</v>
      </c>
      <c r="O87" s="32"/>
      <c r="P87" s="32"/>
      <c r="Q87" s="32"/>
      <c r="R87" s="33"/>
      <c r="S87" s="32"/>
      <c r="T87" s="107">
        <f>$Q$69</f>
        <v>0</v>
      </c>
      <c r="U87" s="32"/>
      <c r="V87" s="32"/>
      <c r="W87" s="32"/>
      <c r="X87" s="26"/>
      <c r="Y87" s="22"/>
      <c r="Z87" s="20"/>
    </row>
    <row r="88" spans="1:26" ht="15" customHeight="1" thickBot="1" x14ac:dyDescent="0.3">
      <c r="A88" s="20"/>
      <c r="B88" s="22"/>
      <c r="C88" s="29"/>
      <c r="D88" s="32"/>
      <c r="E88" s="33"/>
      <c r="F88" s="226"/>
      <c r="G88" s="226"/>
      <c r="H88" s="226"/>
      <c r="I88" s="312"/>
      <c r="J88" s="223"/>
      <c r="K88" s="225"/>
      <c r="L88" s="54"/>
      <c r="M88" s="32"/>
      <c r="N88" s="59" t="s">
        <v>62</v>
      </c>
      <c r="O88" s="53"/>
      <c r="P88" s="53"/>
      <c r="Q88" s="53"/>
      <c r="R88" s="53"/>
      <c r="S88" s="53"/>
      <c r="T88" s="53"/>
      <c r="U88" s="110">
        <f>T85+T86-T87</f>
        <v>48.034419280000002</v>
      </c>
      <c r="V88" s="32"/>
      <c r="W88" s="32"/>
      <c r="X88" s="26"/>
      <c r="Y88" s="22"/>
      <c r="Z88" s="20"/>
    </row>
    <row r="89" spans="1:26" ht="15" customHeight="1" thickTop="1" x14ac:dyDescent="0.25">
      <c r="A89" s="20"/>
      <c r="B89" s="22"/>
      <c r="C89" s="29"/>
      <c r="D89" s="32"/>
      <c r="E89" s="33"/>
      <c r="F89" s="226" t="s">
        <v>35</v>
      </c>
      <c r="G89" s="226"/>
      <c r="H89" s="226"/>
      <c r="I89" s="313">
        <v>1</v>
      </c>
      <c r="J89" s="32"/>
      <c r="K89" s="32"/>
      <c r="L89" s="54"/>
      <c r="M89" s="32"/>
      <c r="N89" s="32"/>
      <c r="O89" s="32"/>
      <c r="P89" s="32"/>
      <c r="Q89" s="32"/>
      <c r="R89" s="32"/>
      <c r="S89" s="32"/>
      <c r="T89" s="32"/>
      <c r="U89" s="32"/>
      <c r="V89" s="32"/>
      <c r="W89" s="32"/>
      <c r="X89" s="26"/>
      <c r="Y89" s="22"/>
      <c r="Z89" s="20"/>
    </row>
    <row r="90" spans="1:26" ht="15" customHeight="1" thickBot="1" x14ac:dyDescent="0.3">
      <c r="A90" s="20"/>
      <c r="B90" s="22"/>
      <c r="C90" s="29"/>
      <c r="D90" s="32"/>
      <c r="E90" s="33"/>
      <c r="F90" s="226"/>
      <c r="G90" s="226"/>
      <c r="H90" s="226"/>
      <c r="I90" s="313"/>
      <c r="J90" s="32"/>
      <c r="K90" s="32"/>
      <c r="L90" s="54"/>
      <c r="M90" s="32"/>
      <c r="N90" s="61"/>
      <c r="O90" s="32"/>
      <c r="P90" s="32"/>
      <c r="Q90" s="32"/>
      <c r="R90" s="32"/>
      <c r="S90" s="62"/>
      <c r="T90" s="62"/>
      <c r="U90" s="62"/>
      <c r="V90" s="32"/>
      <c r="W90" s="32"/>
      <c r="X90" s="26"/>
      <c r="Y90" s="22"/>
      <c r="Z90" s="20"/>
    </row>
    <row r="91" spans="1:26" ht="15" customHeight="1" thickTop="1" x14ac:dyDescent="0.25">
      <c r="A91" s="20"/>
      <c r="B91" s="22"/>
      <c r="C91" s="29"/>
      <c r="D91" s="32"/>
      <c r="E91" s="33"/>
      <c r="F91" s="226" t="s">
        <v>32</v>
      </c>
      <c r="G91" s="226"/>
      <c r="H91" s="226"/>
      <c r="I91" s="313">
        <v>1</v>
      </c>
      <c r="J91" s="32"/>
      <c r="K91" s="32"/>
      <c r="L91" s="54"/>
      <c r="M91" s="32"/>
      <c r="N91" s="56" t="s">
        <v>60</v>
      </c>
      <c r="O91" s="57"/>
      <c r="P91" s="57"/>
      <c r="Q91" s="57"/>
      <c r="R91" s="63"/>
      <c r="S91" s="281" t="s">
        <v>13</v>
      </c>
      <c r="T91" s="281"/>
      <c r="U91" s="281"/>
      <c r="V91" s="32"/>
      <c r="W91" s="32"/>
      <c r="X91" s="26"/>
      <c r="Y91" s="22"/>
      <c r="Z91" s="20"/>
    </row>
    <row r="92" spans="1:26" ht="15" customHeight="1" x14ac:dyDescent="0.25">
      <c r="A92" s="20"/>
      <c r="B92" s="22"/>
      <c r="C92" s="29"/>
      <c r="D92" s="32"/>
      <c r="E92" s="33"/>
      <c r="F92" s="226"/>
      <c r="G92" s="226"/>
      <c r="H92" s="226"/>
      <c r="I92" s="313"/>
      <c r="J92" s="32"/>
      <c r="K92" s="32"/>
      <c r="L92" s="54"/>
      <c r="M92" s="32"/>
      <c r="N92" s="61" t="s">
        <v>67</v>
      </c>
      <c r="O92" s="32"/>
      <c r="P92" s="32"/>
      <c r="Q92" s="32"/>
      <c r="R92" s="45"/>
      <c r="S92" s="32"/>
      <c r="T92" s="32"/>
      <c r="U92" s="32"/>
      <c r="V92" s="32"/>
      <c r="W92" s="32"/>
      <c r="X92" s="26"/>
      <c r="Y92" s="22"/>
      <c r="Z92" s="20"/>
    </row>
    <row r="93" spans="1:26" ht="15" customHeight="1" x14ac:dyDescent="0.25">
      <c r="A93" s="20"/>
      <c r="B93" s="22"/>
      <c r="C93" s="29"/>
      <c r="D93" s="32"/>
      <c r="E93" s="33"/>
      <c r="F93" s="226" t="s">
        <v>36</v>
      </c>
      <c r="G93" s="226"/>
      <c r="H93" s="227"/>
      <c r="I93" s="314">
        <v>0.6</v>
      </c>
      <c r="J93" s="32"/>
      <c r="K93" s="32"/>
      <c r="L93" s="54"/>
      <c r="M93" s="32"/>
      <c r="N93" s="225" t="s">
        <v>48</v>
      </c>
      <c r="O93" s="233"/>
      <c r="P93" s="170">
        <v>2</v>
      </c>
      <c r="Q93" s="32" t="s">
        <v>82</v>
      </c>
      <c r="R93" s="32"/>
      <c r="S93" s="315">
        <f>$P$93*$P$97*$P$94/1000000</f>
        <v>0.44314809999999999</v>
      </c>
      <c r="T93" s="32"/>
      <c r="U93" s="32"/>
      <c r="V93" s="32"/>
      <c r="W93" s="32"/>
      <c r="X93" s="26"/>
      <c r="Y93" s="22"/>
      <c r="Z93" s="20"/>
    </row>
    <row r="94" spans="1:26" ht="15" customHeight="1" x14ac:dyDescent="0.25">
      <c r="A94" s="20"/>
      <c r="B94" s="22"/>
      <c r="C94" s="29"/>
      <c r="D94" s="32"/>
      <c r="E94" s="33"/>
      <c r="F94" s="226"/>
      <c r="G94" s="226"/>
      <c r="H94" s="227"/>
      <c r="I94" s="314"/>
      <c r="J94" s="32"/>
      <c r="K94" s="32"/>
      <c r="L94" s="54"/>
      <c r="M94" s="32"/>
      <c r="N94" s="225"/>
      <c r="O94" s="233"/>
      <c r="P94" s="171">
        <v>44314.81</v>
      </c>
      <c r="Q94" s="32" t="s">
        <v>85</v>
      </c>
      <c r="R94" s="32"/>
      <c r="S94" s="316"/>
      <c r="T94" s="32"/>
      <c r="U94" s="32"/>
      <c r="V94" s="32"/>
      <c r="W94" s="32"/>
      <c r="X94" s="26"/>
      <c r="Y94" s="22"/>
      <c r="Z94" s="20"/>
    </row>
    <row r="95" spans="1:26" ht="15" customHeight="1" x14ac:dyDescent="0.25">
      <c r="A95" s="20"/>
      <c r="B95" s="22"/>
      <c r="C95" s="29"/>
      <c r="D95" s="32"/>
      <c r="E95" s="33"/>
      <c r="F95" s="226" t="s">
        <v>37</v>
      </c>
      <c r="G95" s="226"/>
      <c r="H95" s="227"/>
      <c r="I95" s="314">
        <v>0.8</v>
      </c>
      <c r="J95" s="32"/>
      <c r="K95" s="32"/>
      <c r="L95" s="54"/>
      <c r="M95" s="32"/>
      <c r="N95" s="225" t="s">
        <v>81</v>
      </c>
      <c r="O95" s="225"/>
      <c r="P95" s="170">
        <v>1</v>
      </c>
      <c r="Q95" s="32" t="s">
        <v>83</v>
      </c>
      <c r="R95" s="33"/>
      <c r="S95" s="315">
        <f>$P$95*$P$97*$P$96/1000000</f>
        <v>0.26589229999999997</v>
      </c>
      <c r="T95" s="32"/>
      <c r="U95" s="32"/>
      <c r="V95" s="32"/>
      <c r="W95" s="32"/>
      <c r="X95" s="26"/>
      <c r="Y95" s="22"/>
      <c r="Z95" s="20"/>
    </row>
    <row r="96" spans="1:26" ht="15" customHeight="1" x14ac:dyDescent="0.25">
      <c r="A96" s="20"/>
      <c r="B96" s="22"/>
      <c r="C96" s="29"/>
      <c r="D96" s="32"/>
      <c r="E96" s="33"/>
      <c r="F96" s="226"/>
      <c r="G96" s="226"/>
      <c r="H96" s="227"/>
      <c r="I96" s="314"/>
      <c r="J96" s="32"/>
      <c r="K96" s="32"/>
      <c r="L96" s="54"/>
      <c r="M96" s="32"/>
      <c r="N96" s="225"/>
      <c r="O96" s="225"/>
      <c r="P96" s="171">
        <v>53178.46</v>
      </c>
      <c r="Q96" s="32" t="s">
        <v>84</v>
      </c>
      <c r="R96" s="33"/>
      <c r="S96" s="316"/>
      <c r="T96" s="32"/>
      <c r="U96" s="32"/>
      <c r="V96" s="32"/>
      <c r="W96" s="32"/>
      <c r="X96" s="26"/>
      <c r="Y96" s="22"/>
      <c r="Z96" s="20"/>
    </row>
    <row r="97" spans="1:26" ht="15" customHeight="1" x14ac:dyDescent="0.25">
      <c r="A97" s="20"/>
      <c r="B97" s="22"/>
      <c r="C97" s="29"/>
      <c r="D97" s="32"/>
      <c r="E97" s="33"/>
      <c r="F97" s="226" t="s">
        <v>38</v>
      </c>
      <c r="G97" s="226"/>
      <c r="H97" s="227"/>
      <c r="I97" s="314">
        <v>1</v>
      </c>
      <c r="J97" s="32"/>
      <c r="K97" s="32"/>
      <c r="L97" s="54"/>
      <c r="M97" s="32"/>
      <c r="N97" s="64" t="s">
        <v>86</v>
      </c>
      <c r="O97" s="32"/>
      <c r="P97" s="170">
        <v>5</v>
      </c>
      <c r="Q97" s="32" t="s">
        <v>96</v>
      </c>
      <c r="R97" s="32"/>
      <c r="S97" s="65"/>
      <c r="T97" s="65"/>
      <c r="U97" s="65"/>
      <c r="V97" s="32"/>
      <c r="W97" s="32"/>
      <c r="X97" s="26"/>
      <c r="Y97" s="22"/>
      <c r="Z97" s="20"/>
    </row>
    <row r="98" spans="1:26" ht="15" customHeight="1" x14ac:dyDescent="0.25">
      <c r="A98" s="20"/>
      <c r="B98" s="22"/>
      <c r="C98" s="29"/>
      <c r="D98" s="32"/>
      <c r="E98" s="33"/>
      <c r="F98" s="226"/>
      <c r="G98" s="226"/>
      <c r="H98" s="227"/>
      <c r="I98" s="314"/>
      <c r="J98" s="32"/>
      <c r="K98" s="32"/>
      <c r="L98" s="54"/>
      <c r="M98" s="32"/>
      <c r="N98" s="64" t="s">
        <v>50</v>
      </c>
      <c r="O98" s="32"/>
      <c r="P98" s="172">
        <v>0.2</v>
      </c>
      <c r="Q98" s="32" t="s">
        <v>87</v>
      </c>
      <c r="R98" s="32"/>
      <c r="S98" s="107">
        <f>$P$98*($S$95+$S$93)</f>
        <v>0.14180807999999998</v>
      </c>
      <c r="T98" s="32"/>
      <c r="U98" s="32"/>
      <c r="V98" s="32"/>
      <c r="W98" s="32"/>
      <c r="X98" s="26"/>
      <c r="Y98" s="22"/>
      <c r="Z98" s="20"/>
    </row>
    <row r="99" spans="1:26" ht="15" customHeight="1" x14ac:dyDescent="0.25">
      <c r="A99" s="20"/>
      <c r="B99" s="22"/>
      <c r="C99" s="29"/>
      <c r="D99" s="32"/>
      <c r="E99" s="33"/>
      <c r="F99" s="66"/>
      <c r="G99" s="66"/>
      <c r="H99" s="66"/>
      <c r="I99" s="32"/>
      <c r="J99" s="32"/>
      <c r="K99" s="32"/>
      <c r="L99" s="54"/>
      <c r="M99" s="32"/>
      <c r="N99" s="32" t="s">
        <v>49</v>
      </c>
      <c r="O99" s="32"/>
      <c r="P99" s="172">
        <v>0.02</v>
      </c>
      <c r="Q99" s="32" t="s">
        <v>52</v>
      </c>
      <c r="R99" s="32"/>
      <c r="S99" s="108">
        <f>$P$99*$I$107</f>
        <v>1.0629999999999999</v>
      </c>
      <c r="T99" s="32"/>
      <c r="U99" s="32"/>
      <c r="V99" s="32"/>
      <c r="W99" s="32"/>
      <c r="X99" s="26"/>
      <c r="Y99" s="22"/>
      <c r="Z99" s="20"/>
    </row>
    <row r="100" spans="1:26" ht="15" customHeight="1" x14ac:dyDescent="0.25">
      <c r="A100" s="20"/>
      <c r="B100" s="22"/>
      <c r="C100" s="29"/>
      <c r="D100" s="32"/>
      <c r="E100" s="33"/>
      <c r="F100" s="226" t="s">
        <v>2</v>
      </c>
      <c r="G100" s="226"/>
      <c r="H100" s="226"/>
      <c r="I100" s="321">
        <f>I13</f>
        <v>7.875</v>
      </c>
      <c r="J100" s="223" t="s">
        <v>6</v>
      </c>
      <c r="K100" s="32"/>
      <c r="L100" s="54"/>
      <c r="M100" s="32"/>
      <c r="N100" s="44" t="s">
        <v>63</v>
      </c>
      <c r="O100" s="44"/>
      <c r="P100" s="44"/>
      <c r="Q100" s="44"/>
      <c r="R100" s="44"/>
      <c r="S100" s="44"/>
      <c r="T100" s="107">
        <f>$S$93+$S$95+$S$98+$S$99</f>
        <v>1.91384848</v>
      </c>
      <c r="U100" s="32"/>
      <c r="V100" s="32"/>
      <c r="W100" s="32"/>
      <c r="X100" s="26"/>
      <c r="Y100" s="22"/>
      <c r="Z100" s="20"/>
    </row>
    <row r="101" spans="1:26" ht="15" customHeight="1" x14ac:dyDescent="0.25">
      <c r="A101" s="20"/>
      <c r="B101" s="22"/>
      <c r="C101" s="29"/>
      <c r="D101" s="32"/>
      <c r="E101" s="33"/>
      <c r="F101" s="226"/>
      <c r="G101" s="226"/>
      <c r="H101" s="226"/>
      <c r="I101" s="332"/>
      <c r="J101" s="223"/>
      <c r="K101" s="32"/>
      <c r="L101" s="54"/>
      <c r="M101" s="32"/>
      <c r="N101" s="32"/>
      <c r="O101" s="32"/>
      <c r="P101" s="67"/>
      <c r="Q101" s="32"/>
      <c r="R101" s="35"/>
      <c r="S101" s="32"/>
      <c r="T101" s="32"/>
      <c r="U101" s="32"/>
      <c r="V101" s="32"/>
      <c r="W101" s="32"/>
      <c r="X101" s="26"/>
      <c r="Y101" s="22"/>
      <c r="Z101" s="20"/>
    </row>
    <row r="102" spans="1:26" ht="15" customHeight="1" x14ac:dyDescent="0.25">
      <c r="A102" s="20"/>
      <c r="B102" s="22"/>
      <c r="C102" s="29"/>
      <c r="D102" s="32"/>
      <c r="E102" s="33"/>
      <c r="F102" s="66"/>
      <c r="G102" s="66"/>
      <c r="H102" s="66"/>
      <c r="I102" s="32"/>
      <c r="J102" s="32"/>
      <c r="K102" s="32"/>
      <c r="L102" s="54"/>
      <c r="M102" s="32"/>
      <c r="N102" s="68" t="s">
        <v>66</v>
      </c>
      <c r="O102" s="45"/>
      <c r="P102" s="45"/>
      <c r="Q102" s="45"/>
      <c r="R102" s="33"/>
      <c r="S102" s="45"/>
      <c r="T102" s="45"/>
      <c r="U102" s="32"/>
      <c r="V102" s="32"/>
      <c r="W102" s="32"/>
      <c r="X102" s="26"/>
      <c r="Y102" s="22"/>
      <c r="Z102" s="20"/>
    </row>
    <row r="103" spans="1:26" ht="15" customHeight="1" x14ac:dyDescent="0.25">
      <c r="A103" s="20"/>
      <c r="B103" s="22"/>
      <c r="C103" s="29"/>
      <c r="D103" s="32"/>
      <c r="E103" s="33"/>
      <c r="F103" s="69"/>
      <c r="G103" s="69"/>
      <c r="H103" s="69"/>
      <c r="I103" s="33"/>
      <c r="J103" s="33"/>
      <c r="K103" s="33"/>
      <c r="L103" s="54"/>
      <c r="M103" s="32"/>
      <c r="N103" s="32" t="s">
        <v>54</v>
      </c>
      <c r="O103" s="32"/>
      <c r="P103" s="172">
        <v>0.1</v>
      </c>
      <c r="Q103" s="32" t="s">
        <v>71</v>
      </c>
      <c r="R103" s="33"/>
      <c r="S103" s="32"/>
      <c r="T103" s="32"/>
      <c r="U103" s="32"/>
      <c r="V103" s="32"/>
      <c r="W103" s="32"/>
      <c r="X103" s="26"/>
      <c r="Y103" s="22"/>
      <c r="Z103" s="20"/>
    </row>
    <row r="104" spans="1:26" ht="15" customHeight="1" x14ac:dyDescent="0.25">
      <c r="A104" s="20"/>
      <c r="B104" s="22"/>
      <c r="C104" s="29"/>
      <c r="D104" s="32"/>
      <c r="E104" s="33"/>
      <c r="F104" s="229" t="s">
        <v>41</v>
      </c>
      <c r="G104" s="229"/>
      <c r="H104" s="230"/>
      <c r="I104" s="319">
        <f>IF(I13&lt;I85,I87*(I13/I85)^I93*(I91/I89),I87*(I13/I85)^I95*(I91/I89))</f>
        <v>53.15</v>
      </c>
      <c r="J104" s="228" t="s">
        <v>12</v>
      </c>
      <c r="K104" s="216"/>
      <c r="L104" s="54"/>
      <c r="M104" s="32"/>
      <c r="N104" s="32" t="s">
        <v>53</v>
      </c>
      <c r="O104" s="32"/>
      <c r="P104" s="172">
        <v>0.02</v>
      </c>
      <c r="Q104" s="32" t="s">
        <v>58</v>
      </c>
      <c r="R104" s="33"/>
      <c r="S104" s="32"/>
      <c r="T104" s="32"/>
      <c r="U104" s="32"/>
      <c r="V104" s="32"/>
      <c r="W104" s="32"/>
      <c r="X104" s="26"/>
      <c r="Y104" s="22"/>
      <c r="Z104" s="20"/>
    </row>
    <row r="105" spans="1:26" ht="15" customHeight="1" x14ac:dyDescent="0.25">
      <c r="A105" s="20"/>
      <c r="B105" s="22"/>
      <c r="C105" s="29"/>
      <c r="D105" s="32"/>
      <c r="E105" s="33"/>
      <c r="F105" s="229"/>
      <c r="G105" s="229"/>
      <c r="H105" s="230"/>
      <c r="I105" s="320"/>
      <c r="J105" s="228"/>
      <c r="K105" s="216"/>
      <c r="L105" s="54"/>
      <c r="M105" s="32"/>
      <c r="N105" s="44" t="s">
        <v>89</v>
      </c>
      <c r="O105" s="44"/>
      <c r="P105" s="44"/>
      <c r="Q105" s="44"/>
      <c r="R105" s="44"/>
      <c r="S105" s="44"/>
      <c r="T105" s="107">
        <f>$P$103*$S$99+$P$104*$I$107</f>
        <v>1.1693</v>
      </c>
      <c r="U105" s="32"/>
      <c r="V105" s="32"/>
      <c r="W105" s="32"/>
      <c r="X105" s="26"/>
      <c r="Y105" s="22"/>
      <c r="Z105" s="20"/>
    </row>
    <row r="106" spans="1:26" ht="15" customHeight="1" x14ac:dyDescent="0.25">
      <c r="A106" s="20"/>
      <c r="B106" s="22"/>
      <c r="C106" s="29"/>
      <c r="D106" s="32"/>
      <c r="E106" s="33"/>
      <c r="F106" s="70"/>
      <c r="G106" s="70"/>
      <c r="H106" s="70"/>
      <c r="I106" s="61"/>
      <c r="J106" s="61"/>
      <c r="K106" s="61"/>
      <c r="L106" s="54"/>
      <c r="M106" s="32"/>
      <c r="N106" s="71"/>
      <c r="O106" s="35"/>
      <c r="P106" s="35"/>
      <c r="Q106" s="35"/>
      <c r="R106" s="35"/>
      <c r="S106" s="35"/>
      <c r="T106" s="35"/>
      <c r="U106" s="32"/>
      <c r="V106" s="32"/>
      <c r="W106" s="32"/>
      <c r="X106" s="26"/>
      <c r="Y106" s="22"/>
      <c r="Z106" s="20"/>
    </row>
    <row r="107" spans="1:26" ht="15" customHeight="1" x14ac:dyDescent="0.25">
      <c r="A107" s="20"/>
      <c r="B107" s="22"/>
      <c r="C107" s="29"/>
      <c r="D107" s="32"/>
      <c r="E107" s="32"/>
      <c r="F107" s="229" t="s">
        <v>40</v>
      </c>
      <c r="G107" s="229"/>
      <c r="H107" s="230"/>
      <c r="I107" s="319">
        <f>I97*I104</f>
        <v>53.15</v>
      </c>
      <c r="J107" s="228" t="s">
        <v>12</v>
      </c>
      <c r="K107" s="216"/>
      <c r="L107" s="54"/>
      <c r="M107" s="32"/>
      <c r="N107" s="71" t="s">
        <v>88</v>
      </c>
      <c r="O107" s="35"/>
      <c r="P107" s="72"/>
      <c r="Q107" s="35"/>
      <c r="R107" s="35"/>
      <c r="S107" s="35"/>
      <c r="T107" s="35"/>
      <c r="U107" s="32"/>
      <c r="V107" s="32"/>
      <c r="W107" s="32"/>
      <c r="X107" s="26"/>
      <c r="Y107" s="22"/>
      <c r="Z107" s="20"/>
    </row>
    <row r="108" spans="1:26" ht="15" customHeight="1" x14ac:dyDescent="0.25">
      <c r="A108" s="20"/>
      <c r="B108" s="22"/>
      <c r="C108" s="29"/>
      <c r="D108" s="32"/>
      <c r="E108" s="32"/>
      <c r="F108" s="229"/>
      <c r="G108" s="229"/>
      <c r="H108" s="230"/>
      <c r="I108" s="320"/>
      <c r="J108" s="228"/>
      <c r="K108" s="216"/>
      <c r="L108" s="54"/>
      <c r="M108" s="32"/>
      <c r="N108" s="32" t="s">
        <v>55</v>
      </c>
      <c r="O108" s="32"/>
      <c r="P108" s="172">
        <v>0.6</v>
      </c>
      <c r="Q108" s="32" t="s">
        <v>57</v>
      </c>
      <c r="R108" s="33"/>
      <c r="S108" s="107">
        <f>$T$100*$P$108</f>
        <v>1.148309088</v>
      </c>
      <c r="T108" s="73"/>
      <c r="U108" s="32"/>
      <c r="V108" s="32"/>
      <c r="W108" s="32"/>
      <c r="X108" s="26"/>
      <c r="Y108" s="22"/>
      <c r="Z108" s="20"/>
    </row>
    <row r="109" spans="1:26" ht="15" customHeight="1" thickBot="1" x14ac:dyDescent="0.3">
      <c r="A109" s="20"/>
      <c r="B109" s="22"/>
      <c r="C109" s="29"/>
      <c r="D109" s="32"/>
      <c r="E109" s="32"/>
      <c r="F109" s="53"/>
      <c r="G109" s="53"/>
      <c r="H109" s="53"/>
      <c r="I109" s="53"/>
      <c r="J109" s="53"/>
      <c r="K109" s="53"/>
      <c r="L109" s="54"/>
      <c r="M109" s="32"/>
      <c r="N109" s="32" t="s">
        <v>56</v>
      </c>
      <c r="O109" s="32"/>
      <c r="P109" s="172">
        <v>0.02</v>
      </c>
      <c r="Q109" s="32" t="s">
        <v>58</v>
      </c>
      <c r="R109" s="32"/>
      <c r="S109" s="107">
        <f>$P$109*$I$107</f>
        <v>1.0629999999999999</v>
      </c>
      <c r="T109" s="73"/>
      <c r="U109" s="32"/>
      <c r="V109" s="32"/>
      <c r="W109" s="32"/>
      <c r="X109" s="26"/>
      <c r="Y109" s="22"/>
      <c r="Z109" s="20"/>
    </row>
    <row r="110" spans="1:26" ht="15" customHeight="1" thickTop="1" x14ac:dyDescent="0.25">
      <c r="A110" s="20"/>
      <c r="B110" s="22"/>
      <c r="C110" s="29"/>
      <c r="D110" s="32"/>
      <c r="E110" s="32"/>
      <c r="F110" s="63"/>
      <c r="G110" s="63"/>
      <c r="H110" s="63"/>
      <c r="I110" s="63"/>
      <c r="J110" s="63"/>
      <c r="K110" s="63"/>
      <c r="L110" s="54"/>
      <c r="M110" s="32"/>
      <c r="N110" s="32" t="s">
        <v>59</v>
      </c>
      <c r="O110" s="32"/>
      <c r="P110" s="172">
        <v>0.1</v>
      </c>
      <c r="Q110" s="32" t="s">
        <v>58</v>
      </c>
      <c r="R110" s="32"/>
      <c r="S110" s="107">
        <f>$P$110*$I$107</f>
        <v>5.3150000000000004</v>
      </c>
      <c r="T110" s="73"/>
      <c r="U110" s="32"/>
      <c r="V110" s="32"/>
      <c r="W110" s="32"/>
      <c r="X110" s="26"/>
      <c r="Y110" s="22"/>
      <c r="Z110" s="20"/>
    </row>
    <row r="111" spans="1:26" ht="15" customHeight="1" thickBot="1" x14ac:dyDescent="0.3">
      <c r="A111" s="20"/>
      <c r="B111" s="22"/>
      <c r="C111" s="29"/>
      <c r="D111" s="32"/>
      <c r="E111" s="32"/>
      <c r="F111" s="53"/>
      <c r="G111" s="53"/>
      <c r="H111" s="53"/>
      <c r="I111" s="53"/>
      <c r="J111" s="53"/>
      <c r="K111" s="53"/>
      <c r="L111" s="54"/>
      <c r="M111" s="32"/>
      <c r="N111" s="74" t="s">
        <v>90</v>
      </c>
      <c r="O111" s="74"/>
      <c r="P111" s="74"/>
      <c r="Q111" s="74"/>
      <c r="R111" s="74"/>
      <c r="S111" s="74"/>
      <c r="T111" s="111">
        <f>$S$108+$S$109+$S$110</f>
        <v>7.5263090880000005</v>
      </c>
      <c r="U111" s="33"/>
      <c r="V111" s="32"/>
      <c r="W111" s="32"/>
      <c r="X111" s="26"/>
      <c r="Y111" s="22"/>
      <c r="Z111" s="20"/>
    </row>
    <row r="112" spans="1:26" ht="15" customHeight="1" thickTop="1" thickBot="1" x14ac:dyDescent="0.3">
      <c r="A112" s="20"/>
      <c r="B112" s="22"/>
      <c r="C112" s="29"/>
      <c r="D112" s="32"/>
      <c r="E112" s="32"/>
      <c r="F112" s="56" t="s">
        <v>75</v>
      </c>
      <c r="G112" s="57"/>
      <c r="H112" s="57"/>
      <c r="I112" s="57"/>
      <c r="J112" s="57"/>
      <c r="K112" s="57"/>
      <c r="L112" s="54"/>
      <c r="M112" s="32"/>
      <c r="N112" s="76" t="s">
        <v>61</v>
      </c>
      <c r="O112" s="77"/>
      <c r="P112" s="77"/>
      <c r="Q112" s="77"/>
      <c r="R112" s="77"/>
      <c r="S112" s="77"/>
      <c r="T112" s="77"/>
      <c r="U112" s="110">
        <f>$T$100+$T$105+$T$111</f>
        <v>10.609457568</v>
      </c>
      <c r="V112" s="32"/>
      <c r="W112" s="32"/>
      <c r="X112" s="26"/>
      <c r="Y112" s="22"/>
      <c r="Z112" s="20"/>
    </row>
    <row r="113" spans="1:26" ht="15" customHeight="1" thickTop="1" x14ac:dyDescent="0.25">
      <c r="A113" s="20"/>
      <c r="B113" s="22"/>
      <c r="C113" s="29"/>
      <c r="D113" s="32"/>
      <c r="E113" s="32"/>
      <c r="F113" s="33" t="s">
        <v>76</v>
      </c>
      <c r="G113" s="33"/>
      <c r="H113" s="33"/>
      <c r="I113" s="119">
        <v>1</v>
      </c>
      <c r="J113" s="33" t="s">
        <v>52</v>
      </c>
      <c r="K113" s="33"/>
      <c r="L113" s="54"/>
      <c r="M113" s="32"/>
      <c r="N113" s="64"/>
      <c r="O113" s="64"/>
      <c r="P113" s="78"/>
      <c r="Q113" s="64"/>
      <c r="R113" s="64"/>
      <c r="S113" s="64"/>
      <c r="T113" s="79"/>
      <c r="U113" s="32"/>
      <c r="V113" s="32"/>
      <c r="W113" s="32"/>
      <c r="X113" s="26"/>
      <c r="Y113" s="22"/>
      <c r="Z113" s="20"/>
    </row>
    <row r="114" spans="1:26" ht="15" customHeight="1" x14ac:dyDescent="0.25">
      <c r="A114" s="20"/>
      <c r="B114" s="22"/>
      <c r="C114" s="29"/>
      <c r="D114" s="32"/>
      <c r="E114" s="32"/>
      <c r="F114" s="80" t="s">
        <v>51</v>
      </c>
      <c r="G114" s="80"/>
      <c r="H114" s="80"/>
      <c r="I114" s="112">
        <f>$I$113*$I$107</f>
        <v>53.15</v>
      </c>
      <c r="J114" s="80" t="s">
        <v>12</v>
      </c>
      <c r="K114" s="33"/>
      <c r="L114" s="54"/>
      <c r="M114" s="32"/>
      <c r="N114" s="64"/>
      <c r="O114" s="64"/>
      <c r="P114" s="64"/>
      <c r="Q114" s="64"/>
      <c r="R114" s="64"/>
      <c r="S114" s="64"/>
      <c r="T114" s="64"/>
      <c r="U114" s="33"/>
      <c r="V114" s="32"/>
      <c r="W114" s="32"/>
      <c r="X114" s="26"/>
      <c r="Y114" s="22"/>
      <c r="Z114" s="20"/>
    </row>
    <row r="115" spans="1:26" ht="15" customHeight="1" thickBot="1" x14ac:dyDescent="0.3">
      <c r="A115" s="20"/>
      <c r="B115" s="22"/>
      <c r="C115" s="29"/>
      <c r="D115" s="32"/>
      <c r="E115" s="32"/>
      <c r="F115" s="82" t="s">
        <v>77</v>
      </c>
      <c r="G115" s="82"/>
      <c r="H115" s="82"/>
      <c r="I115" s="113">
        <f>$I$107-$I$114</f>
        <v>0</v>
      </c>
      <c r="J115" s="82" t="s">
        <v>12</v>
      </c>
      <c r="K115" s="53"/>
      <c r="L115" s="54"/>
      <c r="M115" s="32"/>
      <c r="N115" s="68" t="s">
        <v>70</v>
      </c>
      <c r="O115" s="45"/>
      <c r="P115" s="45"/>
      <c r="Q115" s="45"/>
      <c r="R115" s="45"/>
      <c r="S115" s="45"/>
      <c r="T115" s="45"/>
      <c r="U115" s="33"/>
      <c r="V115" s="32"/>
      <c r="W115" s="32"/>
      <c r="X115" s="26"/>
      <c r="Y115" s="22"/>
      <c r="Z115" s="20"/>
    </row>
    <row r="116" spans="1:26" ht="15" customHeight="1" thickTop="1" x14ac:dyDescent="0.25">
      <c r="A116" s="20"/>
      <c r="B116" s="22"/>
      <c r="C116" s="29"/>
      <c r="D116" s="32"/>
      <c r="E116" s="32"/>
      <c r="F116" s="32"/>
      <c r="G116" s="32"/>
      <c r="H116" s="32"/>
      <c r="I116" s="84"/>
      <c r="J116" s="32"/>
      <c r="K116" s="32"/>
      <c r="L116" s="54"/>
      <c r="M116" s="32"/>
      <c r="N116" s="32" t="s">
        <v>44</v>
      </c>
      <c r="O116" s="39"/>
      <c r="P116" s="172">
        <v>0.02</v>
      </c>
      <c r="Q116" s="41" t="s">
        <v>92</v>
      </c>
      <c r="R116" s="32"/>
      <c r="S116" s="39"/>
      <c r="T116" s="107">
        <f>$P$116*($U$112+$U$88)</f>
        <v>1.1728775369600002</v>
      </c>
      <c r="U116" s="33"/>
      <c r="V116" s="32"/>
      <c r="W116" s="32"/>
      <c r="X116" s="26"/>
      <c r="Y116" s="22"/>
      <c r="Z116" s="20"/>
    </row>
    <row r="117" spans="1:26" ht="15" customHeight="1" thickBot="1" x14ac:dyDescent="0.3">
      <c r="A117" s="20"/>
      <c r="B117" s="22"/>
      <c r="C117" s="29"/>
      <c r="D117" s="32"/>
      <c r="E117" s="32"/>
      <c r="F117" s="82"/>
      <c r="G117" s="82"/>
      <c r="H117" s="82"/>
      <c r="I117" s="85"/>
      <c r="J117" s="82"/>
      <c r="K117" s="53"/>
      <c r="L117" s="54"/>
      <c r="M117" s="32"/>
      <c r="N117" s="76" t="s">
        <v>91</v>
      </c>
      <c r="O117" s="77"/>
      <c r="P117" s="77"/>
      <c r="Q117" s="77"/>
      <c r="R117" s="77"/>
      <c r="S117" s="77"/>
      <c r="T117" s="77"/>
      <c r="U117" s="110">
        <f>$T$116</f>
        <v>1.1728775369600002</v>
      </c>
      <c r="V117" s="32"/>
      <c r="W117" s="32"/>
      <c r="X117" s="26"/>
      <c r="Y117" s="22"/>
      <c r="Z117" s="20"/>
    </row>
    <row r="118" spans="1:26" ht="15" customHeight="1" thickTop="1" x14ac:dyDescent="0.25">
      <c r="A118" s="20"/>
      <c r="B118" s="22"/>
      <c r="C118" s="29"/>
      <c r="D118" s="32"/>
      <c r="E118" s="32"/>
      <c r="F118" s="86" t="s">
        <v>78</v>
      </c>
      <c r="G118" s="87"/>
      <c r="H118" s="87"/>
      <c r="I118" s="88"/>
      <c r="J118" s="87"/>
      <c r="K118" s="57"/>
      <c r="L118" s="54"/>
      <c r="M118" s="32"/>
      <c r="N118" s="61"/>
      <c r="O118" s="32"/>
      <c r="P118" s="32"/>
      <c r="Q118" s="32"/>
      <c r="R118" s="32"/>
      <c r="S118" s="32"/>
      <c r="T118" s="32"/>
      <c r="U118" s="32"/>
      <c r="V118" s="32"/>
      <c r="W118" s="32"/>
      <c r="X118" s="26"/>
      <c r="Y118" s="22"/>
      <c r="Z118" s="20"/>
    </row>
    <row r="119" spans="1:26" ht="15" customHeight="1" thickBot="1" x14ac:dyDescent="0.3">
      <c r="A119" s="20"/>
      <c r="B119" s="22"/>
      <c r="C119" s="29"/>
      <c r="D119" s="32"/>
      <c r="E119" s="32"/>
      <c r="F119" s="32" t="s">
        <v>9</v>
      </c>
      <c r="G119" s="32"/>
      <c r="H119" s="32"/>
      <c r="I119" s="89">
        <f>$I$107</f>
        <v>53.15</v>
      </c>
      <c r="J119" s="32" t="s">
        <v>12</v>
      </c>
      <c r="K119" s="32"/>
      <c r="L119" s="54"/>
      <c r="M119" s="32"/>
      <c r="N119" s="53"/>
      <c r="O119" s="53"/>
      <c r="P119" s="90"/>
      <c r="Q119" s="53"/>
      <c r="R119" s="53"/>
      <c r="S119" s="53"/>
      <c r="T119" s="91"/>
      <c r="U119" s="53"/>
      <c r="V119" s="32"/>
      <c r="W119" s="32"/>
      <c r="X119" s="26"/>
      <c r="Y119" s="22"/>
      <c r="Z119" s="20"/>
    </row>
    <row r="120" spans="1:26" ht="15" customHeight="1" thickTop="1" x14ac:dyDescent="0.25">
      <c r="A120" s="20"/>
      <c r="B120" s="22"/>
      <c r="C120" s="29"/>
      <c r="D120" s="32"/>
      <c r="E120" s="32"/>
      <c r="F120" s="80" t="s">
        <v>79</v>
      </c>
      <c r="G120" s="80"/>
      <c r="H120" s="80"/>
      <c r="I120" s="173">
        <v>0.05</v>
      </c>
      <c r="J120" s="80" t="s">
        <v>52</v>
      </c>
      <c r="K120" s="32"/>
      <c r="L120" s="54"/>
      <c r="M120" s="32"/>
      <c r="N120" s="61" t="s">
        <v>10</v>
      </c>
      <c r="O120" s="32"/>
      <c r="P120" s="32"/>
      <c r="Q120" s="32"/>
      <c r="R120" s="32"/>
      <c r="S120" s="32"/>
      <c r="T120" s="32"/>
      <c r="U120" s="92"/>
      <c r="V120" s="32"/>
      <c r="W120" s="32"/>
      <c r="X120" s="26"/>
      <c r="Y120" s="22"/>
      <c r="Z120" s="20"/>
    </row>
    <row r="121" spans="1:26" ht="15" customHeight="1" x14ac:dyDescent="0.25">
      <c r="A121" s="20"/>
      <c r="B121" s="22"/>
      <c r="C121" s="29"/>
      <c r="D121" s="32"/>
      <c r="E121" s="32"/>
      <c r="F121" s="80"/>
      <c r="G121" s="80"/>
      <c r="H121" s="80"/>
      <c r="I121" s="80"/>
      <c r="J121" s="80"/>
      <c r="K121" s="32"/>
      <c r="L121" s="54"/>
      <c r="M121" s="32"/>
      <c r="N121" s="33" t="s">
        <v>62</v>
      </c>
      <c r="O121" s="33"/>
      <c r="P121" s="33"/>
      <c r="Q121" s="33"/>
      <c r="R121" s="33"/>
      <c r="S121" s="33"/>
      <c r="T121" s="33"/>
      <c r="U121" s="33"/>
      <c r="V121" s="32"/>
      <c r="W121" s="32"/>
      <c r="X121" s="26"/>
      <c r="Y121" s="22"/>
      <c r="Z121" s="20"/>
    </row>
    <row r="122" spans="1:26" ht="15" customHeight="1" x14ac:dyDescent="0.25">
      <c r="A122" s="20"/>
      <c r="B122" s="22"/>
      <c r="C122" s="29"/>
      <c r="D122" s="32"/>
      <c r="E122" s="32"/>
      <c r="F122" s="217" t="s">
        <v>80</v>
      </c>
      <c r="G122" s="217"/>
      <c r="H122" s="217"/>
      <c r="I122" s="333">
        <f>$I$119+$I$119*$I$120</f>
        <v>55.807499999999997</v>
      </c>
      <c r="J122" s="217" t="s">
        <v>12</v>
      </c>
      <c r="K122" s="217"/>
      <c r="L122" s="54"/>
      <c r="M122" s="32"/>
      <c r="N122" s="64" t="s">
        <v>61</v>
      </c>
      <c r="O122" s="64"/>
      <c r="P122" s="64"/>
      <c r="Q122" s="64"/>
      <c r="R122" s="64"/>
      <c r="S122" s="64"/>
      <c r="T122" s="64"/>
      <c r="U122" s="64"/>
      <c r="V122" s="32"/>
      <c r="W122" s="32"/>
      <c r="X122" s="26"/>
      <c r="Y122" s="22"/>
      <c r="Z122" s="20"/>
    </row>
    <row r="123" spans="1:26" ht="15" customHeight="1" x14ac:dyDescent="0.25">
      <c r="A123" s="20"/>
      <c r="B123" s="26"/>
      <c r="C123" s="22"/>
      <c r="D123" s="33"/>
      <c r="E123" s="33"/>
      <c r="F123" s="217"/>
      <c r="G123" s="217"/>
      <c r="H123" s="217"/>
      <c r="I123" s="334"/>
      <c r="J123" s="217"/>
      <c r="K123" s="217"/>
      <c r="L123" s="54"/>
      <c r="M123" s="33"/>
      <c r="N123" s="64" t="s">
        <v>91</v>
      </c>
      <c r="O123" s="64"/>
      <c r="P123" s="64"/>
      <c r="Q123" s="64"/>
      <c r="R123" s="64"/>
      <c r="S123" s="64"/>
      <c r="T123" s="64"/>
      <c r="U123" s="64"/>
      <c r="V123" s="33"/>
      <c r="W123" s="33"/>
      <c r="X123" s="26"/>
      <c r="Y123" s="22"/>
      <c r="Z123" s="20"/>
    </row>
    <row r="124" spans="1:26" ht="15" customHeight="1" thickBot="1" x14ac:dyDescent="0.3">
      <c r="A124" s="20"/>
      <c r="B124" s="26"/>
      <c r="C124" s="22"/>
      <c r="D124" s="33"/>
      <c r="E124" s="33"/>
      <c r="F124" s="53"/>
      <c r="G124" s="53"/>
      <c r="H124" s="53"/>
      <c r="I124" s="53"/>
      <c r="J124" s="53"/>
      <c r="K124" s="53"/>
      <c r="L124" s="54"/>
      <c r="M124" s="33"/>
      <c r="N124" s="64"/>
      <c r="O124" s="64"/>
      <c r="P124" s="64"/>
      <c r="Q124" s="64"/>
      <c r="R124" s="64"/>
      <c r="S124" s="64"/>
      <c r="T124" s="64"/>
      <c r="U124" s="64"/>
      <c r="V124" s="33"/>
      <c r="W124" s="33"/>
      <c r="X124" s="26"/>
      <c r="Y124" s="22"/>
      <c r="Z124" s="20"/>
    </row>
    <row r="125" spans="1:26" ht="15" customHeight="1" thickTop="1" x14ac:dyDescent="0.25">
      <c r="A125" s="20"/>
      <c r="B125" s="26"/>
      <c r="C125" s="22"/>
      <c r="D125" s="33"/>
      <c r="E125" s="33"/>
      <c r="F125" s="215"/>
      <c r="G125" s="215"/>
      <c r="H125" s="215"/>
      <c r="I125" s="93"/>
      <c r="J125" s="216"/>
      <c r="K125" s="217"/>
      <c r="L125" s="54"/>
      <c r="M125" s="33"/>
      <c r="N125" s="64"/>
      <c r="O125" s="64"/>
      <c r="P125" s="64"/>
      <c r="Q125" s="64"/>
      <c r="R125" s="64"/>
      <c r="S125" s="64"/>
      <c r="T125" s="64"/>
      <c r="U125" s="64"/>
      <c r="V125" s="33"/>
      <c r="W125" s="33"/>
      <c r="X125" s="26"/>
      <c r="Y125" s="22"/>
      <c r="Z125" s="20"/>
    </row>
    <row r="126" spans="1:26" ht="15" customHeight="1" thickBot="1" x14ac:dyDescent="0.3">
      <c r="A126" s="20"/>
      <c r="B126" s="26"/>
      <c r="C126" s="22"/>
      <c r="D126" s="33"/>
      <c r="E126" s="33"/>
      <c r="F126" s="215"/>
      <c r="G126" s="215"/>
      <c r="H126" s="215"/>
      <c r="I126" s="93"/>
      <c r="J126" s="216"/>
      <c r="K126" s="217"/>
      <c r="L126" s="54"/>
      <c r="M126" s="33"/>
      <c r="N126" s="33"/>
      <c r="O126" s="33"/>
      <c r="P126" s="215" t="s">
        <v>10</v>
      </c>
      <c r="Q126" s="319">
        <f>$U$88+$U$112+$U$117</f>
        <v>59.816754384960007</v>
      </c>
      <c r="R126" s="216" t="s">
        <v>13</v>
      </c>
      <c r="S126" s="216"/>
      <c r="T126" s="33"/>
      <c r="U126" s="33"/>
      <c r="V126" s="33"/>
      <c r="W126" s="33"/>
      <c r="X126" s="26"/>
      <c r="Y126" s="22"/>
      <c r="Z126" s="20"/>
    </row>
    <row r="127" spans="1:26" ht="15" customHeight="1" thickTop="1" x14ac:dyDescent="0.25">
      <c r="A127" s="20"/>
      <c r="B127" s="26"/>
      <c r="C127" s="22"/>
      <c r="D127" s="33"/>
      <c r="E127" s="33"/>
      <c r="F127" s="94" t="s">
        <v>65</v>
      </c>
      <c r="G127" s="63"/>
      <c r="H127" s="63"/>
      <c r="I127" s="63"/>
      <c r="J127" s="63"/>
      <c r="K127" s="63"/>
      <c r="L127" s="54"/>
      <c r="M127" s="33"/>
      <c r="N127" s="32"/>
      <c r="O127" s="32"/>
      <c r="P127" s="215"/>
      <c r="Q127" s="320"/>
      <c r="R127" s="216"/>
      <c r="S127" s="216"/>
      <c r="T127" s="33"/>
      <c r="U127" s="32"/>
      <c r="V127" s="33"/>
      <c r="W127" s="33"/>
      <c r="X127" s="26"/>
      <c r="Y127" s="22"/>
      <c r="Z127" s="20"/>
    </row>
    <row r="128" spans="1:26" ht="15" customHeight="1" thickBot="1" x14ac:dyDescent="0.3">
      <c r="A128" s="20"/>
      <c r="B128" s="26"/>
      <c r="C128" s="22"/>
      <c r="D128" s="33"/>
      <c r="E128" s="33"/>
      <c r="F128" s="33"/>
      <c r="G128" s="33"/>
      <c r="H128" s="33"/>
      <c r="I128" s="33"/>
      <c r="J128" s="33"/>
      <c r="K128" s="33"/>
      <c r="L128" s="54"/>
      <c r="M128" s="33"/>
      <c r="N128" s="53"/>
      <c r="O128" s="53"/>
      <c r="P128" s="53"/>
      <c r="Q128" s="53"/>
      <c r="R128" s="53"/>
      <c r="S128" s="53"/>
      <c r="T128" s="53"/>
      <c r="U128" s="53"/>
      <c r="V128" s="33"/>
      <c r="W128" s="33"/>
      <c r="X128" s="26"/>
      <c r="Y128" s="22"/>
      <c r="Z128" s="20"/>
    </row>
    <row r="129" spans="1:26" ht="15" customHeight="1" thickTop="1" x14ac:dyDescent="0.25">
      <c r="A129" s="20"/>
      <c r="B129" s="26"/>
      <c r="C129" s="22"/>
      <c r="D129" s="33"/>
      <c r="E129" s="33"/>
      <c r="F129" s="225" t="s">
        <v>2</v>
      </c>
      <c r="G129" s="225"/>
      <c r="H129" s="233"/>
      <c r="I129" s="321">
        <f>$I$13</f>
        <v>7.875</v>
      </c>
      <c r="J129" s="223" t="s">
        <v>6</v>
      </c>
      <c r="K129" s="33"/>
      <c r="L129" s="54"/>
      <c r="M129" s="33"/>
      <c r="N129" s="64"/>
      <c r="O129" s="64"/>
      <c r="P129" s="64"/>
      <c r="Q129" s="64"/>
      <c r="R129" s="64"/>
      <c r="S129" s="64"/>
      <c r="T129" s="64"/>
      <c r="U129" s="64"/>
      <c r="V129" s="33"/>
      <c r="W129" s="33"/>
      <c r="X129" s="26"/>
      <c r="Y129" s="22"/>
      <c r="Z129" s="20"/>
    </row>
    <row r="130" spans="1:26" ht="15" customHeight="1" x14ac:dyDescent="0.25">
      <c r="A130" s="20"/>
      <c r="B130" s="26"/>
      <c r="C130" s="22"/>
      <c r="D130" s="33"/>
      <c r="E130" s="33"/>
      <c r="F130" s="225"/>
      <c r="G130" s="225"/>
      <c r="H130" s="233"/>
      <c r="I130" s="322"/>
      <c r="J130" s="223"/>
      <c r="K130" s="33"/>
      <c r="L130" s="54"/>
      <c r="M130" s="33"/>
      <c r="N130" s="64"/>
      <c r="O130" s="64"/>
      <c r="P130" s="64"/>
      <c r="Q130" s="64"/>
      <c r="R130" s="64"/>
      <c r="S130" s="64"/>
      <c r="T130" s="64"/>
      <c r="U130" s="79"/>
      <c r="V130" s="33"/>
      <c r="W130" s="33"/>
      <c r="X130" s="26"/>
      <c r="Y130" s="22"/>
      <c r="Z130" s="20"/>
    </row>
    <row r="131" spans="1:26" ht="15" customHeight="1" x14ac:dyDescent="0.25">
      <c r="A131" s="20"/>
      <c r="B131" s="26"/>
      <c r="C131" s="22"/>
      <c r="D131" s="33"/>
      <c r="E131" s="33"/>
      <c r="F131" s="33"/>
      <c r="G131" s="33"/>
      <c r="H131" s="33"/>
      <c r="I131" s="95"/>
      <c r="J131" s="96"/>
      <c r="K131" s="32"/>
      <c r="L131" s="54"/>
      <c r="M131" s="33"/>
      <c r="N131" s="64"/>
      <c r="O131" s="64"/>
      <c r="P131" s="64"/>
      <c r="Q131" s="64"/>
      <c r="R131" s="64"/>
      <c r="S131" s="64"/>
      <c r="T131" s="64"/>
      <c r="U131" s="64"/>
      <c r="V131" s="33"/>
      <c r="W131" s="33"/>
      <c r="X131" s="26"/>
      <c r="Y131" s="22"/>
      <c r="Z131" s="20"/>
    </row>
    <row r="132" spans="1:26" ht="15" customHeight="1" x14ac:dyDescent="0.25">
      <c r="A132" s="20"/>
      <c r="B132" s="26"/>
      <c r="C132" s="22"/>
      <c r="D132" s="33"/>
      <c r="E132" s="33"/>
      <c r="F132" s="225" t="s">
        <v>4</v>
      </c>
      <c r="G132" s="225"/>
      <c r="H132" s="233"/>
      <c r="I132" s="329">
        <f>$I$17</f>
        <v>0.15</v>
      </c>
      <c r="J132" s="97"/>
      <c r="K132" s="32"/>
      <c r="L132" s="54"/>
      <c r="M132" s="33"/>
      <c r="N132" s="64"/>
      <c r="O132" s="64"/>
      <c r="P132" s="64"/>
      <c r="Q132" s="64"/>
      <c r="R132" s="64"/>
      <c r="S132" s="64"/>
      <c r="T132" s="64"/>
      <c r="U132" s="64"/>
      <c r="V132" s="33"/>
      <c r="W132" s="33"/>
      <c r="X132" s="26"/>
      <c r="Y132" s="22"/>
      <c r="Z132" s="20"/>
    </row>
    <row r="133" spans="1:26" ht="15" customHeight="1" x14ac:dyDescent="0.25">
      <c r="A133" s="20"/>
      <c r="B133" s="26"/>
      <c r="C133" s="22"/>
      <c r="D133" s="33"/>
      <c r="E133" s="33"/>
      <c r="F133" s="225"/>
      <c r="G133" s="225"/>
      <c r="H133" s="233"/>
      <c r="I133" s="330"/>
      <c r="J133" s="97"/>
      <c r="K133" s="32"/>
      <c r="L133" s="54"/>
      <c r="M133" s="33"/>
      <c r="N133" s="64"/>
      <c r="O133" s="64"/>
      <c r="P133" s="64"/>
      <c r="Q133" s="64"/>
      <c r="R133" s="64"/>
      <c r="S133" s="64"/>
      <c r="T133" s="64"/>
      <c r="U133" s="64"/>
      <c r="V133" s="33"/>
      <c r="W133" s="33"/>
      <c r="X133" s="26"/>
      <c r="Y133" s="22"/>
      <c r="Z133" s="20"/>
    </row>
    <row r="134" spans="1:26" ht="15" customHeight="1" x14ac:dyDescent="0.25">
      <c r="A134" s="20"/>
      <c r="B134" s="26"/>
      <c r="C134" s="22"/>
      <c r="D134" s="33"/>
      <c r="E134" s="33"/>
      <c r="F134" s="33"/>
      <c r="G134" s="33"/>
      <c r="H134" s="33"/>
      <c r="I134" s="95"/>
      <c r="J134" s="96"/>
      <c r="K134" s="32"/>
      <c r="L134" s="54"/>
      <c r="M134" s="33"/>
      <c r="N134" s="64"/>
      <c r="O134" s="64"/>
      <c r="P134" s="64"/>
      <c r="Q134" s="64"/>
      <c r="R134" s="64"/>
      <c r="S134" s="64"/>
      <c r="T134" s="64"/>
      <c r="U134" s="79"/>
      <c r="V134" s="33"/>
      <c r="W134" s="33"/>
      <c r="X134" s="26"/>
      <c r="Y134" s="22"/>
      <c r="Z134" s="20"/>
    </row>
    <row r="135" spans="1:26" ht="15" customHeight="1" x14ac:dyDescent="0.25">
      <c r="A135" s="20"/>
      <c r="B135" s="26"/>
      <c r="C135" s="22"/>
      <c r="D135" s="33"/>
      <c r="E135" s="33"/>
      <c r="F135" s="225" t="s">
        <v>5</v>
      </c>
      <c r="G135" s="225"/>
      <c r="H135" s="233"/>
      <c r="I135" s="331">
        <f>$I$19</f>
        <v>20</v>
      </c>
      <c r="J135" s="223" t="s">
        <v>8</v>
      </c>
      <c r="K135" s="32"/>
      <c r="L135" s="54"/>
      <c r="M135" s="33"/>
      <c r="N135" s="64"/>
      <c r="O135" s="64"/>
      <c r="P135" s="64"/>
      <c r="Q135" s="64"/>
      <c r="R135" s="64"/>
      <c r="S135" s="64"/>
      <c r="T135" s="64"/>
      <c r="U135" s="64"/>
      <c r="V135" s="33"/>
      <c r="W135" s="33"/>
      <c r="X135" s="26"/>
      <c r="Y135" s="22"/>
      <c r="Z135" s="20"/>
    </row>
    <row r="136" spans="1:26" ht="15" customHeight="1" x14ac:dyDescent="0.25">
      <c r="A136" s="20"/>
      <c r="B136" s="26"/>
      <c r="C136" s="22"/>
      <c r="D136" s="33"/>
      <c r="E136" s="33"/>
      <c r="F136" s="225"/>
      <c r="G136" s="225"/>
      <c r="H136" s="233"/>
      <c r="I136" s="332"/>
      <c r="J136" s="223"/>
      <c r="K136" s="32"/>
      <c r="L136" s="54"/>
      <c r="M136" s="33"/>
      <c r="N136" s="64"/>
      <c r="O136" s="64"/>
      <c r="P136" s="64"/>
      <c r="Q136" s="64"/>
      <c r="R136" s="64"/>
      <c r="S136" s="64"/>
      <c r="T136" s="64"/>
      <c r="U136" s="64"/>
      <c r="V136" s="33"/>
      <c r="W136" s="33"/>
      <c r="X136" s="26"/>
      <c r="Y136" s="22"/>
      <c r="Z136" s="20"/>
    </row>
    <row r="137" spans="1:26" ht="15" customHeight="1" x14ac:dyDescent="0.25">
      <c r="A137" s="20"/>
      <c r="B137" s="26"/>
      <c r="C137" s="22"/>
      <c r="D137" s="33"/>
      <c r="E137" s="33"/>
      <c r="F137" s="33"/>
      <c r="G137" s="33"/>
      <c r="H137" s="33"/>
      <c r="I137" s="33"/>
      <c r="J137" s="33"/>
      <c r="K137" s="33"/>
      <c r="L137" s="54"/>
      <c r="M137" s="33"/>
      <c r="N137" s="64"/>
      <c r="O137" s="64"/>
      <c r="P137" s="64"/>
      <c r="Q137" s="64"/>
      <c r="R137" s="64"/>
      <c r="S137" s="64"/>
      <c r="T137" s="64"/>
      <c r="U137" s="64"/>
      <c r="V137" s="33"/>
      <c r="W137" s="33"/>
      <c r="X137" s="26"/>
      <c r="Y137" s="22"/>
      <c r="Z137" s="20"/>
    </row>
    <row r="138" spans="1:26" ht="15" customHeight="1" x14ac:dyDescent="0.25">
      <c r="A138" s="20"/>
      <c r="B138" s="26"/>
      <c r="C138" s="22"/>
      <c r="D138" s="33"/>
      <c r="E138" s="33"/>
      <c r="F138" s="33"/>
      <c r="G138" s="33"/>
      <c r="H138" s="33"/>
      <c r="I138" s="33"/>
      <c r="J138" s="33"/>
      <c r="K138" s="33"/>
      <c r="L138" s="54"/>
      <c r="M138" s="33"/>
      <c r="N138" s="64"/>
      <c r="O138" s="64"/>
      <c r="P138" s="64"/>
      <c r="Q138" s="64"/>
      <c r="R138" s="64"/>
      <c r="S138" s="64"/>
      <c r="T138" s="64"/>
      <c r="U138" s="64"/>
      <c r="V138" s="33"/>
      <c r="W138" s="33"/>
      <c r="X138" s="26"/>
      <c r="Y138" s="22"/>
      <c r="Z138" s="20"/>
    </row>
    <row r="139" spans="1:26" ht="15" customHeight="1" x14ac:dyDescent="0.25">
      <c r="A139" s="20"/>
      <c r="B139" s="26"/>
      <c r="C139" s="22"/>
      <c r="D139" s="33"/>
      <c r="E139" s="33"/>
      <c r="F139" s="33"/>
      <c r="G139" s="33"/>
      <c r="H139" s="33"/>
      <c r="I139" s="33"/>
      <c r="J139" s="33"/>
      <c r="K139" s="33"/>
      <c r="L139" s="54"/>
      <c r="M139" s="33"/>
      <c r="N139" s="33"/>
      <c r="O139" s="33"/>
      <c r="P139" s="33"/>
      <c r="Q139" s="33"/>
      <c r="R139" s="33"/>
      <c r="S139" s="33"/>
      <c r="T139" s="33"/>
      <c r="U139" s="33"/>
      <c r="V139" s="33"/>
      <c r="W139" s="33"/>
      <c r="X139" s="26"/>
      <c r="Y139" s="22"/>
      <c r="Z139" s="20"/>
    </row>
    <row r="140" spans="1:26" ht="15" customHeight="1" x14ac:dyDescent="0.25">
      <c r="A140" s="20"/>
      <c r="B140" s="26"/>
      <c r="C140" s="22"/>
      <c r="D140" s="33"/>
      <c r="E140" s="33"/>
      <c r="F140" s="215" t="s">
        <v>65</v>
      </c>
      <c r="G140" s="215"/>
      <c r="H140" s="215"/>
      <c r="I140" s="317">
        <f>PMT(I132,I135,-I122*1000/I129)</f>
        <v>1132.1762869420384</v>
      </c>
      <c r="J140" s="228" t="s">
        <v>72</v>
      </c>
      <c r="K140" s="217"/>
      <c r="L140" s="54"/>
      <c r="M140" s="33"/>
      <c r="N140" s="64"/>
      <c r="O140" s="64"/>
      <c r="P140" s="98"/>
      <c r="Q140" s="99"/>
      <c r="R140" s="98"/>
      <c r="S140" s="98"/>
      <c r="T140" s="64"/>
      <c r="U140" s="64"/>
      <c r="V140" s="33"/>
      <c r="W140" s="33"/>
      <c r="X140" s="26"/>
      <c r="Y140" s="22"/>
      <c r="Z140" s="20"/>
    </row>
    <row r="141" spans="1:26" ht="15" customHeight="1" x14ac:dyDescent="0.25">
      <c r="A141" s="20"/>
      <c r="B141" s="22"/>
      <c r="C141" s="29"/>
      <c r="D141" s="32"/>
      <c r="E141" s="32"/>
      <c r="F141" s="215"/>
      <c r="G141" s="215"/>
      <c r="H141" s="215"/>
      <c r="I141" s="318"/>
      <c r="J141" s="228"/>
      <c r="K141" s="217"/>
      <c r="L141" s="54"/>
      <c r="M141" s="32"/>
      <c r="N141" s="64"/>
      <c r="O141" s="64"/>
      <c r="P141" s="98"/>
      <c r="Q141" s="99"/>
      <c r="R141" s="98"/>
      <c r="S141" s="98"/>
      <c r="T141" s="64"/>
      <c r="U141" s="64"/>
      <c r="V141" s="32"/>
      <c r="W141" s="32"/>
      <c r="X141" s="26"/>
      <c r="Y141" s="22"/>
      <c r="Z141" s="20"/>
    </row>
    <row r="142" spans="1:26" ht="15" customHeight="1" thickBot="1" x14ac:dyDescent="0.3">
      <c r="A142" s="20"/>
      <c r="B142" s="22"/>
      <c r="C142" s="29"/>
      <c r="D142" s="32"/>
      <c r="E142" s="32"/>
      <c r="F142" s="53"/>
      <c r="G142" s="53"/>
      <c r="H142" s="53"/>
      <c r="I142" s="77"/>
      <c r="J142" s="53"/>
      <c r="K142" s="53"/>
      <c r="L142" s="54"/>
      <c r="M142" s="32"/>
      <c r="N142" s="64"/>
      <c r="O142" s="64"/>
      <c r="P142" s="64"/>
      <c r="Q142" s="64"/>
      <c r="R142" s="64"/>
      <c r="S142" s="64"/>
      <c r="T142" s="64"/>
      <c r="U142" s="64"/>
      <c r="V142" s="32"/>
      <c r="W142" s="32"/>
      <c r="X142" s="26"/>
      <c r="Y142" s="22"/>
      <c r="Z142" s="20"/>
    </row>
    <row r="143" spans="1:26" ht="15" customHeight="1" thickTop="1" x14ac:dyDescent="0.25">
      <c r="A143" s="20"/>
      <c r="B143" s="22"/>
      <c r="C143" s="29"/>
      <c r="D143" s="32"/>
      <c r="E143" s="32"/>
      <c r="F143" s="100"/>
      <c r="G143" s="100"/>
      <c r="H143" s="100"/>
      <c r="I143" s="93"/>
      <c r="J143" s="100"/>
      <c r="K143" s="101"/>
      <c r="L143" s="54"/>
      <c r="M143" s="32"/>
      <c r="N143" s="33"/>
      <c r="O143" s="33"/>
      <c r="P143" s="33"/>
      <c r="Q143" s="33"/>
      <c r="R143" s="33"/>
      <c r="S143" s="33"/>
      <c r="T143" s="33"/>
      <c r="U143" s="33"/>
      <c r="V143" s="32"/>
      <c r="W143" s="32"/>
      <c r="X143" s="26"/>
      <c r="Y143" s="22"/>
      <c r="Z143" s="20"/>
    </row>
    <row r="144" spans="1:26" ht="15" customHeight="1" x14ac:dyDescent="0.25">
      <c r="A144" s="20"/>
      <c r="B144" s="22"/>
      <c r="C144" s="29"/>
      <c r="D144" s="32"/>
      <c r="E144" s="32"/>
      <c r="F144" s="100"/>
      <c r="G144" s="100"/>
      <c r="H144" s="100"/>
      <c r="I144" s="93"/>
      <c r="J144" s="100"/>
      <c r="K144" s="101"/>
      <c r="L144" s="54"/>
      <c r="M144" s="32"/>
      <c r="N144" s="33"/>
      <c r="O144" s="33"/>
      <c r="P144" s="33"/>
      <c r="Q144" s="33"/>
      <c r="R144" s="33"/>
      <c r="S144" s="33"/>
      <c r="T144" s="33"/>
      <c r="U144" s="33"/>
      <c r="V144" s="32"/>
      <c r="W144" s="32"/>
      <c r="X144" s="26"/>
      <c r="Y144" s="22"/>
      <c r="Z144" s="20"/>
    </row>
    <row r="145" spans="1:26" ht="15" customHeight="1" x14ac:dyDescent="0.25">
      <c r="A145" s="20"/>
      <c r="B145" s="22"/>
      <c r="C145" s="29"/>
      <c r="D145" s="32"/>
      <c r="E145" s="32"/>
      <c r="F145" s="32"/>
      <c r="G145" s="32"/>
      <c r="H145" s="32"/>
      <c r="I145" s="32"/>
      <c r="J145" s="32"/>
      <c r="K145" s="32"/>
      <c r="L145" s="54"/>
      <c r="M145" s="32"/>
      <c r="N145" s="33"/>
      <c r="O145" s="33"/>
      <c r="P145" s="33"/>
      <c r="Q145" s="33"/>
      <c r="R145" s="33"/>
      <c r="S145" s="33"/>
      <c r="T145" s="33"/>
      <c r="U145" s="33"/>
      <c r="V145" s="32"/>
      <c r="W145" s="32"/>
      <c r="X145" s="26"/>
      <c r="Y145" s="22"/>
      <c r="Z145" s="20"/>
    </row>
    <row r="146" spans="1:26" ht="15" customHeight="1" x14ac:dyDescent="0.25">
      <c r="A146" s="20"/>
      <c r="B146" s="22"/>
      <c r="C146" s="29"/>
      <c r="D146" s="32"/>
      <c r="E146" s="32"/>
      <c r="F146" s="32"/>
      <c r="G146" s="32"/>
      <c r="H146" s="32"/>
      <c r="I146" s="32"/>
      <c r="J146" s="32"/>
      <c r="K146" s="32"/>
      <c r="L146" s="54"/>
      <c r="M146" s="32"/>
      <c r="N146" s="33"/>
      <c r="O146" s="33"/>
      <c r="P146" s="33"/>
      <c r="Q146" s="33"/>
      <c r="R146" s="33"/>
      <c r="S146" s="33"/>
      <c r="T146" s="33"/>
      <c r="U146" s="33"/>
      <c r="V146" s="32"/>
      <c r="W146" s="32"/>
      <c r="X146" s="26"/>
      <c r="Y146" s="22"/>
      <c r="Z146" s="20"/>
    </row>
    <row r="147" spans="1:26" ht="3.75" customHeight="1" thickBot="1" x14ac:dyDescent="0.3">
      <c r="A147" s="20"/>
      <c r="B147" s="26"/>
      <c r="C147" s="30"/>
      <c r="D147" s="24"/>
      <c r="E147" s="24"/>
      <c r="F147" s="24"/>
      <c r="G147" s="24"/>
      <c r="H147" s="24"/>
      <c r="I147" s="24"/>
      <c r="J147" s="24"/>
      <c r="K147" s="24"/>
      <c r="L147" s="31"/>
      <c r="M147" s="24"/>
      <c r="N147" s="24"/>
      <c r="O147" s="24"/>
      <c r="P147" s="24"/>
      <c r="Q147" s="24"/>
      <c r="R147" s="24"/>
      <c r="S147" s="24"/>
      <c r="T147" s="24"/>
      <c r="U147" s="24"/>
      <c r="V147" s="24"/>
      <c r="W147" s="24"/>
      <c r="X147" s="31"/>
      <c r="Y147" s="22"/>
      <c r="Z147" s="20"/>
    </row>
    <row r="148" spans="1:26" ht="3.75" customHeight="1" thickTop="1" x14ac:dyDescent="0.25">
      <c r="A148" s="20"/>
      <c r="B148" s="26"/>
      <c r="C148" s="22"/>
      <c r="D148" s="22"/>
      <c r="E148" s="22"/>
      <c r="F148" s="22"/>
      <c r="G148" s="22"/>
      <c r="H148" s="22"/>
      <c r="I148" s="22"/>
      <c r="J148" s="22"/>
      <c r="K148" s="22"/>
      <c r="L148" s="22"/>
      <c r="M148" s="22"/>
      <c r="N148" s="22"/>
      <c r="O148" s="22"/>
      <c r="P148" s="22"/>
      <c r="Q148" s="22"/>
      <c r="R148" s="22"/>
      <c r="S148" s="22"/>
      <c r="T148" s="22"/>
      <c r="U148" s="22"/>
      <c r="V148" s="22"/>
      <c r="W148" s="22"/>
      <c r="X148" s="26"/>
      <c r="Y148" s="22"/>
      <c r="Z148" s="20"/>
    </row>
    <row r="149" spans="1:26" ht="15" customHeight="1" x14ac:dyDescent="0.25">
      <c r="A149" s="20"/>
      <c r="B149" s="26"/>
      <c r="C149" s="25"/>
      <c r="D149" s="22"/>
      <c r="E149" s="22"/>
      <c r="F149" s="22"/>
      <c r="G149" s="22"/>
      <c r="H149" s="22"/>
      <c r="I149" s="22"/>
      <c r="J149" s="22"/>
      <c r="K149" s="22"/>
      <c r="L149" s="22"/>
      <c r="M149" s="22"/>
      <c r="N149" s="22"/>
      <c r="O149" s="22"/>
      <c r="P149" s="22"/>
      <c r="Q149" s="22"/>
      <c r="R149" s="22"/>
      <c r="S149" s="22"/>
      <c r="T149" s="22"/>
      <c r="U149" s="22"/>
      <c r="V149" s="22"/>
      <c r="W149" s="22"/>
      <c r="X149" s="26"/>
      <c r="Y149" s="22"/>
      <c r="Z149" s="20"/>
    </row>
    <row r="150" spans="1:26" ht="15" customHeight="1" x14ac:dyDescent="0.25">
      <c r="A150" s="20"/>
      <c r="B150" s="26"/>
      <c r="C150" s="25"/>
      <c r="D150" s="28" t="s">
        <v>64</v>
      </c>
      <c r="E150" s="22"/>
      <c r="F150" s="22"/>
      <c r="G150" s="22"/>
      <c r="H150" s="22"/>
      <c r="I150" s="22"/>
      <c r="J150" s="22"/>
      <c r="K150" s="22"/>
      <c r="L150" s="22"/>
      <c r="M150" s="22"/>
      <c r="N150" s="22"/>
      <c r="O150" s="22"/>
      <c r="P150" s="22"/>
      <c r="Q150" s="22"/>
      <c r="R150" s="22"/>
      <c r="S150" s="22"/>
      <c r="T150" s="25"/>
      <c r="U150" s="22"/>
      <c r="V150" s="22"/>
      <c r="W150" s="22"/>
      <c r="X150" s="26"/>
      <c r="Y150" s="22"/>
      <c r="Z150" s="20"/>
    </row>
    <row r="151" spans="1:26" ht="15" customHeight="1" x14ac:dyDescent="0.25">
      <c r="A151" s="20"/>
      <c r="B151" s="26"/>
      <c r="C151" s="25"/>
      <c r="D151" s="22"/>
      <c r="E151" s="22"/>
      <c r="F151" s="22"/>
      <c r="G151" s="22"/>
      <c r="H151" s="22"/>
      <c r="I151" s="22"/>
      <c r="J151" s="22"/>
      <c r="K151" s="22"/>
      <c r="L151" s="22"/>
      <c r="M151" s="22"/>
      <c r="N151" s="22"/>
      <c r="O151" s="22"/>
      <c r="P151" s="22"/>
      <c r="Q151" s="22"/>
      <c r="R151" s="22"/>
      <c r="S151" s="22"/>
      <c r="T151" s="22"/>
      <c r="U151" s="22"/>
      <c r="V151" s="22"/>
      <c r="W151" s="22"/>
      <c r="X151" s="26"/>
      <c r="Y151" s="22"/>
      <c r="Z151" s="20"/>
    </row>
    <row r="152" spans="1:26" ht="3.75" customHeight="1" thickBot="1" x14ac:dyDescent="0.3">
      <c r="A152" s="20"/>
      <c r="B152" s="26"/>
      <c r="C152" s="30"/>
      <c r="D152" s="24"/>
      <c r="E152" s="24"/>
      <c r="F152" s="24"/>
      <c r="G152" s="24"/>
      <c r="H152" s="24"/>
      <c r="I152" s="24"/>
      <c r="J152" s="24"/>
      <c r="K152" s="24"/>
      <c r="L152" s="24"/>
      <c r="M152" s="24"/>
      <c r="N152" s="24"/>
      <c r="O152" s="24"/>
      <c r="P152" s="24"/>
      <c r="Q152" s="24"/>
      <c r="R152" s="24"/>
      <c r="S152" s="24"/>
      <c r="T152" s="24"/>
      <c r="U152" s="24"/>
      <c r="V152" s="24"/>
      <c r="W152" s="24"/>
      <c r="X152" s="31"/>
      <c r="Y152" s="22"/>
      <c r="Z152" s="20"/>
    </row>
    <row r="153" spans="1:26" ht="3.75" customHeight="1" thickTop="1" x14ac:dyDescent="0.25">
      <c r="A153" s="20"/>
      <c r="B153" s="26"/>
      <c r="C153" s="22"/>
      <c r="D153" s="22"/>
      <c r="E153" s="22"/>
      <c r="F153" s="22"/>
      <c r="G153" s="22"/>
      <c r="H153" s="22"/>
      <c r="I153" s="22"/>
      <c r="J153" s="22"/>
      <c r="K153" s="22"/>
      <c r="L153" s="22"/>
      <c r="M153" s="22"/>
      <c r="N153" s="22"/>
      <c r="O153" s="22"/>
      <c r="P153" s="22"/>
      <c r="Q153" s="22"/>
      <c r="R153" s="22"/>
      <c r="S153" s="22"/>
      <c r="T153" s="22"/>
      <c r="U153" s="22"/>
      <c r="V153" s="22"/>
      <c r="W153" s="22"/>
      <c r="X153" s="26"/>
      <c r="Y153" s="22"/>
      <c r="Z153" s="20"/>
    </row>
    <row r="154" spans="1:26" ht="15" customHeight="1" thickBot="1" x14ac:dyDescent="0.3">
      <c r="A154" s="20"/>
      <c r="B154" s="26"/>
      <c r="C154" s="25"/>
      <c r="D154" s="33"/>
      <c r="E154" s="33"/>
      <c r="F154" s="53"/>
      <c r="G154" s="53"/>
      <c r="H154" s="53"/>
      <c r="I154" s="53"/>
      <c r="J154" s="53"/>
      <c r="K154" s="53"/>
      <c r="L154" s="33"/>
      <c r="M154" s="33"/>
      <c r="N154" s="53"/>
      <c r="O154" s="53"/>
      <c r="P154" s="53"/>
      <c r="Q154" s="53"/>
      <c r="R154" s="53"/>
      <c r="S154" s="53"/>
      <c r="T154" s="53"/>
      <c r="U154" s="53"/>
      <c r="V154" s="33"/>
      <c r="W154" s="33"/>
      <c r="X154" s="26"/>
      <c r="Y154" s="22"/>
      <c r="Z154" s="20"/>
    </row>
    <row r="155" spans="1:26" ht="15" customHeight="1" thickTop="1" x14ac:dyDescent="0.25">
      <c r="A155" s="20"/>
      <c r="B155" s="26"/>
      <c r="C155" s="25"/>
      <c r="D155" s="33"/>
      <c r="E155" s="33"/>
      <c r="F155" s="33" t="s">
        <v>47</v>
      </c>
      <c r="G155" s="33"/>
      <c r="H155" s="33"/>
      <c r="I155" s="165">
        <f>($T$85+$T$86)*1000/$I$13</f>
        <v>6099.6087974603179</v>
      </c>
      <c r="J155" s="33" t="str">
        <f>CONCATENATE("USD/ton ",$H$10)</f>
        <v>USD/ton Carvone</v>
      </c>
      <c r="K155" s="33"/>
      <c r="L155" s="33"/>
      <c r="M155" s="33"/>
      <c r="N155" s="187" t="s">
        <v>103</v>
      </c>
      <c r="O155" s="187"/>
      <c r="P155" s="33"/>
      <c r="Q155" s="161" t="s">
        <v>9</v>
      </c>
      <c r="R155" s="161" t="s">
        <v>10</v>
      </c>
      <c r="S155" s="33"/>
      <c r="T155" s="187" t="s">
        <v>102</v>
      </c>
      <c r="U155" s="187"/>
      <c r="V155" s="33"/>
      <c r="W155" s="33"/>
      <c r="X155" s="26"/>
      <c r="Y155" s="22"/>
      <c r="Z155" s="20"/>
    </row>
    <row r="156" spans="1:26" ht="15" customHeight="1" x14ac:dyDescent="0.25">
      <c r="A156" s="20"/>
      <c r="B156" s="26"/>
      <c r="C156" s="25"/>
      <c r="D156" s="33"/>
      <c r="E156" s="33"/>
      <c r="F156" s="33" t="s">
        <v>46</v>
      </c>
      <c r="G156" s="33"/>
      <c r="H156" s="33"/>
      <c r="I156" s="114">
        <f>$T$87*1000/$I$13</f>
        <v>0</v>
      </c>
      <c r="J156" s="33" t="str">
        <f>CONCATENATE("USD/ton ",$H$10)</f>
        <v>USD/ton Carvone</v>
      </c>
      <c r="K156" s="33"/>
      <c r="L156" s="33"/>
      <c r="M156" s="33"/>
      <c r="N156" s="203" t="s">
        <v>107</v>
      </c>
      <c r="O156" s="203"/>
      <c r="P156" s="32"/>
      <c r="Q156" s="287" t="s">
        <v>12</v>
      </c>
      <c r="R156" s="287"/>
      <c r="S156" s="32"/>
      <c r="T156" s="167" t="s">
        <v>72</v>
      </c>
      <c r="U156" s="168" t="s">
        <v>104</v>
      </c>
      <c r="V156" s="33"/>
      <c r="W156" s="33"/>
      <c r="X156" s="26"/>
      <c r="Y156" s="22"/>
      <c r="Z156" s="20"/>
    </row>
    <row r="157" spans="1:26" ht="15" customHeight="1" x14ac:dyDescent="0.25">
      <c r="A157" s="20"/>
      <c r="B157" s="26"/>
      <c r="C157" s="25"/>
      <c r="D157" s="33"/>
      <c r="E157" s="33"/>
      <c r="F157" s="33" t="s">
        <v>93</v>
      </c>
      <c r="G157" s="33"/>
      <c r="H157" s="33"/>
      <c r="I157" s="114">
        <f>($U$112+$U$117)*1000/$I$13</f>
        <v>1496.1695371377775</v>
      </c>
      <c r="J157" s="33" t="str">
        <f>CONCATENATE("USD/ton ",$H$10)</f>
        <v>USD/ton Carvone</v>
      </c>
      <c r="K157" s="33"/>
      <c r="L157" s="33"/>
      <c r="M157" s="33"/>
      <c r="N157" s="199" t="s">
        <v>105</v>
      </c>
      <c r="O157" s="288">
        <v>0.5</v>
      </c>
      <c r="P157" s="32"/>
      <c r="Q157" s="291">
        <f>(1-O157)*I107</f>
        <v>26.574999999999999</v>
      </c>
      <c r="R157" s="291">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(1+Base_GA_Sales_RD)</f>
        <v>55.100223384960003</v>
      </c>
      <c r="S157" s="32"/>
      <c r="T157" s="293">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Base_GA_Sales_R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1000)/Base_Desired_Capacity+$I$155+$I$156+PMT($I$132,$I$135,(-Q157*1000)*1.05/$I$129)</f>
        <v>7562.9419066405435</v>
      </c>
      <c r="U157" s="295">
        <f>ABS(T157-$I$160)/$I$160</f>
        <v>0.13348061091248112</v>
      </c>
      <c r="V157" s="33"/>
      <c r="W157" s="33"/>
      <c r="X157" s="26"/>
      <c r="Y157" s="22"/>
      <c r="Z157" s="20"/>
    </row>
    <row r="158" spans="1:26" ht="15" customHeight="1" x14ac:dyDescent="0.25">
      <c r="A158" s="20"/>
      <c r="B158" s="26"/>
      <c r="C158" s="25"/>
      <c r="D158" s="33"/>
      <c r="E158" s="33"/>
      <c r="F158" s="33" t="s">
        <v>65</v>
      </c>
      <c r="G158" s="33"/>
      <c r="H158" s="33"/>
      <c r="I158" s="114">
        <f>$I$140</f>
        <v>1132.1762869420384</v>
      </c>
      <c r="J158" s="33" t="str">
        <f>CONCATENATE("USD/ton ",$H$10)</f>
        <v>USD/ton Carvone</v>
      </c>
      <c r="K158" s="33"/>
      <c r="L158" s="33"/>
      <c r="M158" s="33"/>
      <c r="N158" s="200"/>
      <c r="O158" s="288"/>
      <c r="P158" s="33"/>
      <c r="Q158" s="291"/>
      <c r="R158" s="291"/>
      <c r="S158" s="33"/>
      <c r="T158" s="293"/>
      <c r="U158" s="295"/>
      <c r="V158" s="33"/>
      <c r="W158" s="33"/>
      <c r="X158" s="26"/>
      <c r="Y158" s="22"/>
      <c r="Z158" s="20"/>
    </row>
    <row r="159" spans="1:26" ht="15" customHeight="1" x14ac:dyDescent="0.25">
      <c r="A159" s="20"/>
      <c r="B159" s="26"/>
      <c r="C159" s="25"/>
      <c r="D159" s="33"/>
      <c r="E159" s="33"/>
      <c r="F159" s="33"/>
      <c r="G159" s="33"/>
      <c r="H159" s="33"/>
      <c r="I159" s="33"/>
      <c r="J159" s="33"/>
      <c r="K159" s="33"/>
      <c r="L159" s="33"/>
      <c r="M159" s="33"/>
      <c r="N159" s="201" t="s">
        <v>106</v>
      </c>
      <c r="O159" s="289">
        <v>1</v>
      </c>
      <c r="P159" s="33"/>
      <c r="Q159" s="291">
        <f>(1+O159)*I107</f>
        <v>106.3</v>
      </c>
      <c r="R159" s="291">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(1+Base_GA_Sales_RD)</f>
        <v>69.249816384959985</v>
      </c>
      <c r="S159" s="33"/>
      <c r="T159" s="293">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Base_GA_Sales_R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1000)/Base_Desired_Capacity+$I$155+$I$156+PMT($I$132,$I$135,(-Q159*1000)*1.05/$I$129)</f>
        <v>11057.980051339315</v>
      </c>
      <c r="U159" s="295">
        <f>ABS(T159-$I$160)/$I$160</f>
        <v>0.2669612218249624</v>
      </c>
      <c r="V159" s="33"/>
      <c r="W159" s="33"/>
      <c r="X159" s="26"/>
      <c r="Y159" s="22"/>
      <c r="Z159" s="20"/>
    </row>
    <row r="160" spans="1:26" ht="15" customHeight="1" thickBot="1" x14ac:dyDescent="0.3">
      <c r="A160" s="20"/>
      <c r="B160" s="26"/>
      <c r="C160" s="25"/>
      <c r="D160" s="33"/>
      <c r="E160" s="33"/>
      <c r="F160" s="59" t="s">
        <v>11</v>
      </c>
      <c r="G160" s="59"/>
      <c r="H160" s="53"/>
      <c r="I160" s="166">
        <f>SUM(I155:I158)</f>
        <v>8727.9546215401333</v>
      </c>
      <c r="J160" s="59" t="str">
        <f>CONCATENATE("USD/ton ",$H$10)</f>
        <v>USD/ton Carvone</v>
      </c>
      <c r="K160" s="53"/>
      <c r="L160" s="33"/>
      <c r="M160" s="33"/>
      <c r="N160" s="202"/>
      <c r="O160" s="290"/>
      <c r="P160" s="169"/>
      <c r="Q160" s="292"/>
      <c r="R160" s="292"/>
      <c r="S160" s="169"/>
      <c r="T160" s="294"/>
      <c r="U160" s="296"/>
      <c r="V160" s="33"/>
      <c r="W160" s="33"/>
      <c r="X160" s="26"/>
      <c r="Y160" s="22"/>
      <c r="Z160" s="20"/>
    </row>
    <row r="161" spans="1:26" ht="15" customHeight="1" thickTop="1" x14ac:dyDescent="0.25">
      <c r="A161" s="20"/>
      <c r="B161" s="26"/>
      <c r="C161" s="22"/>
      <c r="D161" s="33"/>
      <c r="E161" s="33"/>
      <c r="F161" s="33"/>
      <c r="G161" s="33"/>
      <c r="H161" s="33"/>
      <c r="I161" s="33"/>
      <c r="J161" s="33"/>
      <c r="K161" s="33"/>
      <c r="L161" s="33"/>
      <c r="M161" s="33"/>
      <c r="N161" s="33"/>
      <c r="O161" s="33"/>
      <c r="P161" s="33"/>
      <c r="Q161" s="33"/>
      <c r="R161" s="33"/>
      <c r="S161" s="33"/>
      <c r="T161" s="33"/>
      <c r="U161" s="33"/>
      <c r="V161" s="33"/>
      <c r="W161" s="33"/>
      <c r="X161" s="26"/>
      <c r="Y161" s="22"/>
      <c r="Z161" s="20"/>
    </row>
    <row r="162" spans="1:26" ht="3.75" customHeight="1" thickBot="1" x14ac:dyDescent="0.3">
      <c r="A162" s="20"/>
      <c r="B162" s="26"/>
      <c r="C162" s="30"/>
      <c r="D162" s="24"/>
      <c r="E162" s="24"/>
      <c r="F162" s="24"/>
      <c r="G162" s="24"/>
      <c r="H162" s="24"/>
      <c r="I162" s="24"/>
      <c r="J162" s="24"/>
      <c r="K162" s="24"/>
      <c r="L162" s="24"/>
      <c r="M162" s="24"/>
      <c r="N162" s="24"/>
      <c r="O162" s="24"/>
      <c r="P162" s="24"/>
      <c r="Q162" s="24"/>
      <c r="R162" s="24"/>
      <c r="S162" s="24"/>
      <c r="T162" s="24"/>
      <c r="U162" s="24"/>
      <c r="V162" s="24"/>
      <c r="W162" s="24"/>
      <c r="X162" s="31"/>
      <c r="Y162" s="22"/>
      <c r="Z162" s="20"/>
    </row>
    <row r="163" spans="1:26" ht="3.75" customHeight="1" thickTop="1" x14ac:dyDescent="0.25">
      <c r="A163" s="20"/>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0"/>
    </row>
    <row r="164" spans="1:26" ht="7.5" customHeight="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sheetData>
  <sheetProtection algorithmName="SHA-512" hashValue="su5yMhvzr7oen8mjcNVNzYDTL10b1tkLVa/SYyw7PvBq0wb2rjz4queBGGWc+8y3IbYgTL1JVVlKC5WsmA7L/g==" saltValue="iRPpUs+5XzKaghruqZKgWw==" spinCount="100000" sheet="1" objects="1" scenarios="1"/>
  <mergeCells count="159">
    <mergeCell ref="R13:R14"/>
    <mergeCell ref="R16:R17"/>
    <mergeCell ref="R19:R20"/>
    <mergeCell ref="S19:U20"/>
    <mergeCell ref="S16:U17"/>
    <mergeCell ref="S13:U14"/>
    <mergeCell ref="F132:H133"/>
    <mergeCell ref="I132:I133"/>
    <mergeCell ref="F135:H136"/>
    <mergeCell ref="I135:I136"/>
    <mergeCell ref="J135:J136"/>
    <mergeCell ref="F107:H108"/>
    <mergeCell ref="I107:I108"/>
    <mergeCell ref="J107:K108"/>
    <mergeCell ref="F122:H123"/>
    <mergeCell ref="I122:I123"/>
    <mergeCell ref="J122:K123"/>
    <mergeCell ref="F97:H98"/>
    <mergeCell ref="I97:I98"/>
    <mergeCell ref="F100:H101"/>
    <mergeCell ref="I100:I101"/>
    <mergeCell ref="J100:J101"/>
    <mergeCell ref="F104:H105"/>
    <mergeCell ref="I104:I105"/>
    <mergeCell ref="F140:H141"/>
    <mergeCell ref="I140:I141"/>
    <mergeCell ref="J140:K141"/>
    <mergeCell ref="F125:H126"/>
    <mergeCell ref="J125:K126"/>
    <mergeCell ref="P126:P127"/>
    <mergeCell ref="Q126:Q127"/>
    <mergeCell ref="R126:S127"/>
    <mergeCell ref="F129:H130"/>
    <mergeCell ref="I129:I130"/>
    <mergeCell ref="J129:J130"/>
    <mergeCell ref="J104:K105"/>
    <mergeCell ref="S91:U91"/>
    <mergeCell ref="F93:H94"/>
    <mergeCell ref="I93:I94"/>
    <mergeCell ref="N93:O94"/>
    <mergeCell ref="S93:S94"/>
    <mergeCell ref="F95:H96"/>
    <mergeCell ref="I95:I96"/>
    <mergeCell ref="N95:O96"/>
    <mergeCell ref="S95:S96"/>
    <mergeCell ref="F87:H88"/>
    <mergeCell ref="I87:I88"/>
    <mergeCell ref="J87:K88"/>
    <mergeCell ref="F89:H90"/>
    <mergeCell ref="I89:I90"/>
    <mergeCell ref="F91:H92"/>
    <mergeCell ref="I91:I92"/>
    <mergeCell ref="Q68:R68"/>
    <mergeCell ref="S68:T68"/>
    <mergeCell ref="Q69:R69"/>
    <mergeCell ref="S69:T69"/>
    <mergeCell ref="S84:U84"/>
    <mergeCell ref="F85:H86"/>
    <mergeCell ref="I85:I86"/>
    <mergeCell ref="J85:J86"/>
    <mergeCell ref="Q65:R65"/>
    <mergeCell ref="S65:T65"/>
    <mergeCell ref="Q66:R66"/>
    <mergeCell ref="S66:T66"/>
    <mergeCell ref="Q67:R67"/>
    <mergeCell ref="S67:T67"/>
    <mergeCell ref="Q62:R62"/>
    <mergeCell ref="S62:T62"/>
    <mergeCell ref="Q63:R63"/>
    <mergeCell ref="S63:T63"/>
    <mergeCell ref="Q64:R64"/>
    <mergeCell ref="S64:T64"/>
    <mergeCell ref="F59:G60"/>
    <mergeCell ref="I59:J60"/>
    <mergeCell ref="L59:N60"/>
    <mergeCell ref="O59:P60"/>
    <mergeCell ref="Q61:R61"/>
    <mergeCell ref="S61:T61"/>
    <mergeCell ref="Q53:R53"/>
    <mergeCell ref="S53:T53"/>
    <mergeCell ref="Q54:R54"/>
    <mergeCell ref="S54:T54"/>
    <mergeCell ref="Q55:R55"/>
    <mergeCell ref="S55:T55"/>
    <mergeCell ref="Q50:R50"/>
    <mergeCell ref="S50:T50"/>
    <mergeCell ref="Q51:R51"/>
    <mergeCell ref="S51:T51"/>
    <mergeCell ref="Q52:R52"/>
    <mergeCell ref="S52:T52"/>
    <mergeCell ref="Q47:R47"/>
    <mergeCell ref="S47:T47"/>
    <mergeCell ref="Q48:R48"/>
    <mergeCell ref="S48:T48"/>
    <mergeCell ref="Q49:R49"/>
    <mergeCell ref="S49:T49"/>
    <mergeCell ref="Q40:R40"/>
    <mergeCell ref="S40:T40"/>
    <mergeCell ref="Q41:R41"/>
    <mergeCell ref="S41:T41"/>
    <mergeCell ref="F45:F46"/>
    <mergeCell ref="I45:J46"/>
    <mergeCell ref="L45:N46"/>
    <mergeCell ref="O45:P46"/>
    <mergeCell ref="Q37:R37"/>
    <mergeCell ref="S37:T37"/>
    <mergeCell ref="Q38:R38"/>
    <mergeCell ref="S38:T38"/>
    <mergeCell ref="Q39:R39"/>
    <mergeCell ref="S39:T39"/>
    <mergeCell ref="S33:T33"/>
    <mergeCell ref="Q34:R34"/>
    <mergeCell ref="S34:T34"/>
    <mergeCell ref="Q35:R35"/>
    <mergeCell ref="S35:T35"/>
    <mergeCell ref="Q36:R36"/>
    <mergeCell ref="S36:T36"/>
    <mergeCell ref="O19:P20"/>
    <mergeCell ref="F31:F32"/>
    <mergeCell ref="I31:J32"/>
    <mergeCell ref="L31:N32"/>
    <mergeCell ref="O31:P32"/>
    <mergeCell ref="Q33:R33"/>
    <mergeCell ref="F19:H20"/>
    <mergeCell ref="I19:I20"/>
    <mergeCell ref="J19:J20"/>
    <mergeCell ref="L19:M20"/>
    <mergeCell ref="N19:N20"/>
    <mergeCell ref="F15:H16"/>
    <mergeCell ref="I15:I16"/>
    <mergeCell ref="J15:J16"/>
    <mergeCell ref="L16:M17"/>
    <mergeCell ref="N16:N17"/>
    <mergeCell ref="O16:P17"/>
    <mergeCell ref="F17:H18"/>
    <mergeCell ref="I17:I18"/>
    <mergeCell ref="F13:H14"/>
    <mergeCell ref="I13:I14"/>
    <mergeCell ref="J13:J14"/>
    <mergeCell ref="L13:M14"/>
    <mergeCell ref="N13:N14"/>
    <mergeCell ref="O13:P14"/>
    <mergeCell ref="J17:J18"/>
    <mergeCell ref="N155:O155"/>
    <mergeCell ref="N156:O156"/>
    <mergeCell ref="Q156:R156"/>
    <mergeCell ref="T155:U155"/>
    <mergeCell ref="N157:N158"/>
    <mergeCell ref="N159:N160"/>
    <mergeCell ref="O157:O158"/>
    <mergeCell ref="O159:O160"/>
    <mergeCell ref="R157:R158"/>
    <mergeCell ref="Q157:Q158"/>
    <mergeCell ref="Q159:Q160"/>
    <mergeCell ref="R159:R160"/>
    <mergeCell ref="T157:T158"/>
    <mergeCell ref="T159:T160"/>
    <mergeCell ref="U157:U158"/>
    <mergeCell ref="U159:U160"/>
  </mergeCells>
  <pageMargins left="0.7" right="0.7" top="0.75" bottom="0.75" header="0.3" footer="0.3"/>
  <pageSetup paperSize="9" scale="50" orientation="portrait" r:id="rId1"/>
  <rowBreaks count="1" manualBreakCount="1">
    <brk id="73" max="26" man="1"/>
  </rowBreaks>
  <colBreaks count="1" manualBreakCount="1">
    <brk id="26" max="163" man="1"/>
  </colBreaks>
  <drawing r:id="rId2"/>
  <legacyDrawing r:id="rId3"/>
  <mc:AlternateContent xmlns:mc="http://schemas.openxmlformats.org/markup-compatibility/2006">
    <mc:Choice Requires="x14">
      <controls>
        <mc:AlternateContent xmlns:mc="http://schemas.openxmlformats.org/markup-compatibility/2006">
          <mc:Choice Requires="x14">
            <control shapeId="8198" r:id="rId4" name="Button 6">
              <controlPr defaultSize="0" print="0" autoFill="0" autoPict="0" macro="[0]!ISIPlanilha.ClearISIInput">
                <anchor moveWithCells="1">
                  <from>
                    <xdr:col>9</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8200" r:id="rId5" name="Button 8">
              <controlPr defaultSize="0" print="0" autoFill="0" autoPict="0" macro="[0]!ISIPlanilha.RestoreDefCells">
                <anchor moveWithCells="1">
                  <from>
                    <xdr:col>15</xdr:col>
                    <xdr:colOff>0</xdr:colOff>
                    <xdr:row>9</xdr:row>
                    <xdr:rowOff>0</xdr:rowOff>
                  </from>
                  <to>
                    <xdr:col>18</xdr:col>
                    <xdr:colOff>0</xdr:colOff>
                    <xdr:row>10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102</vt:i4>
      </vt:variant>
    </vt:vector>
  </HeadingPairs>
  <TitlesOfParts>
    <vt:vector size="103" baseType="lpstr">
      <vt:lpstr>Macro</vt:lpstr>
      <vt:lpstr>'Cost Analysis'!Area_de_impressao</vt:lpstr>
      <vt:lpstr>Base_Additional_Capital_Cost</vt:lpstr>
      <vt:lpstr>Base_Annual_Cost_Per_Operator</vt:lpstr>
      <vt:lpstr>Base_Annual_Cost_Per_Supervisor</vt:lpstr>
      <vt:lpstr>Base_CAPEX_Lower_Bound</vt:lpstr>
      <vt:lpstr>Base_CAPEX_Upper_Bound</vt:lpstr>
      <vt:lpstr>Base_Cost_Index_In_Project_Year</vt:lpstr>
      <vt:lpstr>Base_Credit1</vt:lpstr>
      <vt:lpstr>Base_Credit2</vt:lpstr>
      <vt:lpstr>Base_Credit3</vt:lpstr>
      <vt:lpstr>Base_Credit4</vt:lpstr>
      <vt:lpstr>Base_Credit5</vt:lpstr>
      <vt:lpstr>Base_Credit6</vt:lpstr>
      <vt:lpstr>Base_Credit7</vt:lpstr>
      <vt:lpstr>Base_Depreciation</vt:lpstr>
      <vt:lpstr>Base_Desired_Capacity</vt:lpstr>
      <vt:lpstr>Base_Expansion_Coefficient</vt:lpstr>
      <vt:lpstr>Base_GA_Sales_RD</vt:lpstr>
      <vt:lpstr>Base_Internal_Return_Rate</vt:lpstr>
      <vt:lpstr>Base_ISBL_Contribution</vt:lpstr>
      <vt:lpstr>Base_Laboratory_Labor</vt:lpstr>
      <vt:lpstr>Base_Location_Factor</vt:lpstr>
      <vt:lpstr>Base_Maintenance_Labor</vt:lpstr>
      <vt:lpstr>Base_Maintenance_Supplies</vt:lpstr>
      <vt:lpstr>Base_Operating_Supplies</vt:lpstr>
      <vt:lpstr>Base_Operators_Per_Shift</vt:lpstr>
      <vt:lpstr>Base_Overhead</vt:lpstr>
      <vt:lpstr>Base_Project_Lifetime</vt:lpstr>
      <vt:lpstr>Base_Raw1</vt:lpstr>
      <vt:lpstr>Base_Raw2</vt:lpstr>
      <vt:lpstr>Base_Raw3</vt:lpstr>
      <vt:lpstr>Base_Raw4</vt:lpstr>
      <vt:lpstr>Base_Raw5</vt:lpstr>
      <vt:lpstr>Base_Raw6</vt:lpstr>
      <vt:lpstr>Base_Raw7</vt:lpstr>
      <vt:lpstr>Base_Reduction_Coefficient</vt:lpstr>
      <vt:lpstr>Base_Reference_Capacity</vt:lpstr>
      <vt:lpstr>Base_Reference_CAPEX</vt:lpstr>
      <vt:lpstr>Base_Reference_Cost_Index</vt:lpstr>
      <vt:lpstr>Base_Shifts</vt:lpstr>
      <vt:lpstr>Base_Supervisors_Per_Shift</vt:lpstr>
      <vt:lpstr>Base_Taxes_And_Insurance</vt:lpstr>
      <vt:lpstr>Base_Utility1</vt:lpstr>
      <vt:lpstr>Base_Utility2</vt:lpstr>
      <vt:lpstr>Base_Utility3</vt:lpstr>
      <vt:lpstr>Base_Utility4</vt:lpstr>
      <vt:lpstr>Base_Utility5</vt:lpstr>
      <vt:lpstr>Base_Utility6</vt:lpstr>
      <vt:lpstr>Base_Utility7</vt:lpstr>
      <vt:lpstr>Base_Working_Hours_Per_Year</vt:lpstr>
      <vt:lpstr>Cost_Additional_Capital_Cost</vt:lpstr>
      <vt:lpstr>Cost_Annual_Cost_Per_Operator</vt:lpstr>
      <vt:lpstr>Cost_Annual_Cost_Per_Supervisor</vt:lpstr>
      <vt:lpstr>Cost_CAPEX_Lower_Bound</vt:lpstr>
      <vt:lpstr>Cost_CAPEX_Upper_Bound</vt:lpstr>
      <vt:lpstr>Cost_Cost_Index_In_Project_Year</vt:lpstr>
      <vt:lpstr>Cost_Credit1</vt:lpstr>
      <vt:lpstr>Cost_Credit2</vt:lpstr>
      <vt:lpstr>Cost_Credit3</vt:lpstr>
      <vt:lpstr>Cost_Credit4</vt:lpstr>
      <vt:lpstr>Cost_Credit5</vt:lpstr>
      <vt:lpstr>Cost_Credit6</vt:lpstr>
      <vt:lpstr>Cost_Credit7</vt:lpstr>
      <vt:lpstr>Cost_Depreciation</vt:lpstr>
      <vt:lpstr>Cost_Desired_Capacity</vt:lpstr>
      <vt:lpstr>Cost_Expansion_Coefficient</vt:lpstr>
      <vt:lpstr>Cost_GA_Sales_RD</vt:lpstr>
      <vt:lpstr>Cost_Internal_Return_Rate</vt:lpstr>
      <vt:lpstr>Cost_ISBL_Contribution</vt:lpstr>
      <vt:lpstr>Cost_Laboratory_Labor</vt:lpstr>
      <vt:lpstr>Cost_Location_Factor</vt:lpstr>
      <vt:lpstr>Cost_Maintenance_Labor</vt:lpstr>
      <vt:lpstr>Cost_Maintenance_Supplies</vt:lpstr>
      <vt:lpstr>Cost_Operating_Supplies</vt:lpstr>
      <vt:lpstr>Cost_Operators_Per_Shift</vt:lpstr>
      <vt:lpstr>Cost_Overhead</vt:lpstr>
      <vt:lpstr>Cost_Project_Lifetime</vt:lpstr>
      <vt:lpstr>Cost_Raw1</vt:lpstr>
      <vt:lpstr>Cost_Raw2</vt:lpstr>
      <vt:lpstr>Cost_Raw3</vt:lpstr>
      <vt:lpstr>Cost_Raw4</vt:lpstr>
      <vt:lpstr>Cost_Raw5</vt:lpstr>
      <vt:lpstr>Cost_Raw6</vt:lpstr>
      <vt:lpstr>Cost_Raw7</vt:lpstr>
      <vt:lpstr>Cost_Reduction_Coefficient</vt:lpstr>
      <vt:lpstr>Cost_Reference_Capacity</vt:lpstr>
      <vt:lpstr>Cost_Reference_CAPEX</vt:lpstr>
      <vt:lpstr>Cost_Reference_Cost_Index</vt:lpstr>
      <vt:lpstr>Cost_Shifts</vt:lpstr>
      <vt:lpstr>Cost_Supervisors_Per_Shift</vt:lpstr>
      <vt:lpstr>Cost_Taxes_And_Insurance</vt:lpstr>
      <vt:lpstr>Cost_Utility1</vt:lpstr>
      <vt:lpstr>Cost_Utility2</vt:lpstr>
      <vt:lpstr>Cost_Utility3</vt:lpstr>
      <vt:lpstr>Cost_Utility4</vt:lpstr>
      <vt:lpstr>Cost_Utility5</vt:lpstr>
      <vt:lpstr>Cost_Utility6</vt:lpstr>
      <vt:lpstr>Cost_Utility7</vt:lpstr>
      <vt:lpstr>Cost_Working_Hours_Per_Year</vt:lpstr>
      <vt:lpstr>ISIInput</vt:lpstr>
      <vt:lpstr>UserInput</vt:lpstr>
      <vt:lpstr>UserPrice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Tork</dc:creator>
  <cp:lastModifiedBy>Felipe Moura</cp:lastModifiedBy>
  <cp:lastPrinted>2016-09-02T19:00:34Z</cp:lastPrinted>
  <dcterms:created xsi:type="dcterms:W3CDTF">2016-09-01T23:53:37Z</dcterms:created>
  <dcterms:modified xsi:type="dcterms:W3CDTF">2017-12-18T16:31:42Z</dcterms:modified>
</cp:coreProperties>
</file>